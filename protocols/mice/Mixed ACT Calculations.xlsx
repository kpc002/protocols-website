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eina1/Dropbox/PostDoc/PROTOCOLS/"/>
    </mc:Choice>
  </mc:AlternateContent>
  <xr:revisionPtr revIDLastSave="0" documentId="13_ncr:1_{C3428CC0-8DD3-5D42-A59B-011158A1DDB4}" xr6:coauthVersionLast="36" xr6:coauthVersionMax="45" xr10:uidLastSave="{00000000-0000-0000-0000-000000000000}"/>
  <bookViews>
    <workbookView xWindow="3740" yWindow="2560" windowWidth="34660" windowHeight="20460" xr2:uid="{02255659-1D1F-4A42-BE05-C4C8AC8E7CD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8" i="1"/>
  <c r="I24" i="1"/>
  <c r="I23" i="1"/>
  <c r="J31" i="1"/>
  <c r="E24" i="1"/>
  <c r="E10" i="1"/>
  <c r="B37" i="1" l="1"/>
  <c r="O31" i="1" l="1"/>
  <c r="P19" i="1"/>
  <c r="P18" i="1"/>
  <c r="K19" i="1"/>
  <c r="K18" i="1"/>
  <c r="J24" i="1"/>
  <c r="I27" i="1" l="1"/>
  <c r="J27" i="1"/>
  <c r="B17" i="1"/>
  <c r="B18" i="1" s="1"/>
  <c r="I13" i="1"/>
  <c r="N9" i="1"/>
  <c r="N13" i="1" s="1"/>
  <c r="B31" i="1"/>
  <c r="B32" i="1" s="1"/>
  <c r="B26" i="1"/>
  <c r="B12" i="1"/>
  <c r="J23" i="1"/>
  <c r="J26" i="1" s="1"/>
  <c r="I26" i="1" l="1"/>
  <c r="I29" i="1" s="1"/>
  <c r="I35" i="1"/>
  <c r="N24" i="1"/>
  <c r="O24" i="1" s="1"/>
  <c r="O27" i="1" s="1"/>
  <c r="N8" i="1"/>
  <c r="N23" i="1" s="1"/>
  <c r="I12" i="1"/>
  <c r="I14" i="1" s="1"/>
  <c r="I10" i="1"/>
  <c r="N26" i="1" l="1"/>
  <c r="O23" i="1"/>
  <c r="O26" i="1" s="1"/>
  <c r="J29" i="1"/>
  <c r="J32" i="1" s="1"/>
  <c r="J35" i="1"/>
  <c r="N27" i="1"/>
  <c r="N10" i="1"/>
  <c r="N12" i="1"/>
  <c r="N14" i="1" s="1"/>
  <c r="N35" i="1" l="1"/>
  <c r="N29" i="1"/>
  <c r="O35" i="1" l="1"/>
  <c r="O29" i="1"/>
  <c r="O32" i="1" s="1"/>
</calcChain>
</file>

<file path=xl/sharedStrings.xml><?xml version="1.0" encoding="utf-8"?>
<sst xmlns="http://schemas.openxmlformats.org/spreadsheetml/2006/main" count="98" uniqueCount="58">
  <si>
    <t>CD8 T cell 1:1 mixing calculations</t>
  </si>
  <si>
    <t>CD45.1 CELLS</t>
  </si>
  <si>
    <t>shCD19</t>
  </si>
  <si>
    <t>Concentration hemocytometer (cells/ml)</t>
  </si>
  <si>
    <t>Total Cells</t>
  </si>
  <si>
    <t>Total Volume</t>
  </si>
  <si>
    <t>Wash 2x with PBS</t>
  </si>
  <si>
    <t>Resuspend in X volume - Usually 1ml of PBS 1X</t>
  </si>
  <si>
    <t>Total Ametrine+ cells</t>
  </si>
  <si>
    <t>Concentration of Ametrine+ cells (cells/ml)</t>
  </si>
  <si>
    <t>Cells to STAIN</t>
  </si>
  <si>
    <t>Volume to Take for FIRST stain (ul)</t>
  </si>
  <si>
    <t>Volume to Stain (ul) (FACSbuffer)</t>
  </si>
  <si>
    <t>STAINING</t>
  </si>
  <si>
    <t>CD8a</t>
  </si>
  <si>
    <t>CD45.1</t>
  </si>
  <si>
    <t>CD45.2</t>
  </si>
  <si>
    <t>Va2</t>
  </si>
  <si>
    <t>shSrebf2</t>
  </si>
  <si>
    <t>Proportion of Ametrine + Cells in CD45.1/CD8a/Va2+ gate</t>
  </si>
  <si>
    <t>Proportion of Ametrine + Cells in CD45.1.2/CD8a/Va2+ gate</t>
  </si>
  <si>
    <t>CD45.1.2 CELLS</t>
  </si>
  <si>
    <t>Dilution to count</t>
  </si>
  <si>
    <t>Actual Count (cells/ml)</t>
  </si>
  <si>
    <t>Corrected Count (cells/ml)</t>
  </si>
  <si>
    <t>(1/100)</t>
  </si>
  <si>
    <t>MINI-MIX</t>
  </si>
  <si>
    <t>Volume from CD45.1</t>
  </si>
  <si>
    <t>Volume from CD45.1.2</t>
  </si>
  <si>
    <t>(ul)</t>
  </si>
  <si>
    <t>Volume total</t>
  </si>
  <si>
    <t>Total Cells from CD45.1</t>
  </si>
  <si>
    <t>Total Cells from CD45.1.2</t>
  </si>
  <si>
    <t>x</t>
  </si>
  <si>
    <t>y</t>
  </si>
  <si>
    <t>x + y = 2000000</t>
  </si>
  <si>
    <t>Equation</t>
  </si>
  <si>
    <t>Fraction1 + Fraction2</t>
  </si>
  <si>
    <t>FINAL MIX</t>
  </si>
  <si>
    <t>mice number</t>
  </si>
  <si>
    <t>RESULTS</t>
  </si>
  <si>
    <t>CD45.1.2</t>
  </si>
  <si>
    <t>Expected</t>
  </si>
  <si>
    <t>Correction</t>
  </si>
  <si>
    <t>Observed Ratio</t>
  </si>
  <si>
    <t>For 1 mouse</t>
  </si>
  <si>
    <t>For n mice</t>
  </si>
  <si>
    <t>ATTEMPT 1</t>
  </si>
  <si>
    <t>ATTEMPT 2</t>
  </si>
  <si>
    <t>OK</t>
  </si>
  <si>
    <t>Add Volume (ul)</t>
  </si>
  <si>
    <t>Volume total (ul)</t>
  </si>
  <si>
    <t>Volume from CD45.1 (ul)</t>
  </si>
  <si>
    <t>Volume from CD45.1.2 (ul)</t>
  </si>
  <si>
    <t>Final Volume (ul)</t>
  </si>
  <si>
    <t>(its 4* because we need 2M total)</t>
  </si>
  <si>
    <t>FractionAme+CD45.1*x = FractionAme+CD45.1.2y</t>
  </si>
  <si>
    <t>AmCyan (Ametrine aka BV510)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</si>
</sst>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4" borderId="0" xfId="0" applyFont="1" applyFill="1"/>
    <xf numFmtId="0" fontId="1" fillId="3" borderId="0" xfId="0" applyFont="1" applyFill="1"/>
    <xf numFmtId="0" fontId="2" fillId="3" borderId="0" xfId="0" applyFont="1" applyFill="1"/>
    <xf numFmtId="0" fontId="2" fillId="8" borderId="0" xfId="0" applyFont="1" applyFill="1"/>
    <xf numFmtId="0" fontId="2" fillId="0" borderId="0" xfId="0" applyFont="1" applyAlignment="1">
      <alignment horizontal="center"/>
    </xf>
    <xf numFmtId="1" fontId="2" fillId="0" borderId="0" xfId="0" applyNumberFormat="1" applyFont="1"/>
    <xf numFmtId="0" fontId="2" fillId="7" borderId="0" xfId="0" applyFont="1" applyFill="1"/>
    <xf numFmtId="0" fontId="1" fillId="7" borderId="0" xfId="0" applyFont="1" applyFill="1"/>
    <xf numFmtId="0" fontId="1" fillId="0" borderId="0" xfId="0" applyFont="1" applyBorder="1"/>
    <xf numFmtId="0" fontId="1" fillId="0" borderId="1" xfId="0" applyFont="1" applyBorder="1"/>
    <xf numFmtId="0" fontId="2" fillId="0" borderId="1" xfId="0" applyFont="1" applyBorder="1"/>
    <xf numFmtId="0" fontId="2" fillId="8" borderId="1" xfId="0" applyFont="1" applyFill="1" applyBorder="1"/>
    <xf numFmtId="0" fontId="1" fillId="5" borderId="0" xfId="0" applyFont="1" applyFill="1"/>
    <xf numFmtId="0" fontId="1" fillId="6" borderId="0" xfId="0" applyFont="1" applyFill="1"/>
    <xf numFmtId="0" fontId="2" fillId="0" borderId="0" xfId="0" applyFont="1" applyFill="1"/>
    <xf numFmtId="0" fontId="2" fillId="5" borderId="0" xfId="0" applyFont="1" applyFill="1"/>
    <xf numFmtId="0" fontId="2" fillId="4" borderId="0" xfId="0" applyFont="1" applyFill="1"/>
    <xf numFmtId="1" fontId="2" fillId="4" borderId="1" xfId="0" applyNumberFormat="1" applyFont="1" applyFill="1" applyBorder="1"/>
    <xf numFmtId="1" fontId="2" fillId="5" borderId="1" xfId="0" applyNumberFormat="1" applyFont="1" applyFill="1" applyBorder="1"/>
    <xf numFmtId="1" fontId="2" fillId="0" borderId="1" xfId="0" applyNumberFormat="1" applyFont="1" applyBorder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DD31-349D-6C4A-8ABD-44D2DDD7600F}">
  <dimension ref="A1:Q39"/>
  <sheetViews>
    <sheetView tabSelected="1" workbookViewId="0">
      <selection activeCell="I10" sqref="I10"/>
    </sheetView>
  </sheetViews>
  <sheetFormatPr baseColWidth="10" defaultRowHeight="13" x14ac:dyDescent="0.15"/>
  <cols>
    <col min="1" max="1" width="50.1640625" style="2" bestFit="1" customWidth="1"/>
    <col min="2" max="2" width="9.1640625" style="2" bestFit="1" customWidth="1"/>
    <col min="3" max="3" width="8.33203125" style="2" bestFit="1" customWidth="1"/>
    <col min="4" max="4" width="28.6640625" style="2" bestFit="1" customWidth="1"/>
    <col min="5" max="5" width="7.1640625" style="2" bestFit="1" customWidth="1"/>
    <col min="6" max="6" width="10.83203125" style="2"/>
    <col min="7" max="7" width="2" style="2" bestFit="1" customWidth="1"/>
    <col min="8" max="8" width="21.83203125" style="2" bestFit="1" customWidth="1"/>
    <col min="9" max="9" width="13.83203125" style="2" bestFit="1" customWidth="1"/>
    <col min="10" max="10" width="9.83203125" style="2" bestFit="1" customWidth="1"/>
    <col min="11" max="11" width="9.6640625" style="2" bestFit="1" customWidth="1"/>
    <col min="12" max="12" width="12.6640625" style="2" bestFit="1" customWidth="1"/>
    <col min="13" max="13" width="21.83203125" style="2" bestFit="1" customWidth="1"/>
    <col min="14" max="14" width="13.83203125" style="2" bestFit="1" customWidth="1"/>
    <col min="15" max="15" width="9.83203125" style="2" bestFit="1" customWidth="1"/>
    <col min="16" max="16" width="9.6640625" style="2" bestFit="1" customWidth="1"/>
    <col min="17" max="17" width="3.6640625" style="2" bestFit="1" customWidth="1"/>
    <col min="18" max="18" width="9.5" style="2" bestFit="1" customWidth="1"/>
    <col min="19" max="16384" width="10.83203125" style="2"/>
  </cols>
  <sheetData>
    <row r="1" spans="1:14" x14ac:dyDescent="0.15">
      <c r="A1" s="1" t="s">
        <v>0</v>
      </c>
    </row>
    <row r="2" spans="1:14" x14ac:dyDescent="0.15">
      <c r="C2" s="3" t="s">
        <v>36</v>
      </c>
      <c r="D2" s="2" t="s">
        <v>35</v>
      </c>
    </row>
    <row r="3" spans="1:14" x14ac:dyDescent="0.15">
      <c r="D3" s="2" t="s">
        <v>56</v>
      </c>
    </row>
    <row r="4" spans="1:14" x14ac:dyDescent="0.15">
      <c r="A4" s="2" t="s">
        <v>6</v>
      </c>
    </row>
    <row r="5" spans="1:14" x14ac:dyDescent="0.15">
      <c r="A5" s="2" t="s">
        <v>7</v>
      </c>
    </row>
    <row r="6" spans="1:14" x14ac:dyDescent="0.15">
      <c r="H6" s="1" t="s">
        <v>47</v>
      </c>
      <c r="M6" s="1" t="s">
        <v>48</v>
      </c>
    </row>
    <row r="7" spans="1:14" x14ac:dyDescent="0.15">
      <c r="A7" s="4" t="s">
        <v>1</v>
      </c>
      <c r="B7" s="2" t="s">
        <v>2</v>
      </c>
      <c r="D7" s="5" t="s">
        <v>10</v>
      </c>
      <c r="E7" s="6">
        <v>100000</v>
      </c>
      <c r="H7" s="3" t="s">
        <v>26</v>
      </c>
      <c r="I7" s="3"/>
      <c r="M7" s="3" t="s">
        <v>26</v>
      </c>
      <c r="N7" s="3" t="s">
        <v>29</v>
      </c>
    </row>
    <row r="8" spans="1:14" x14ac:dyDescent="0.15">
      <c r="A8" s="2" t="s">
        <v>5</v>
      </c>
      <c r="B8" s="7">
        <v>1.6</v>
      </c>
      <c r="D8" s="6" t="s">
        <v>12</v>
      </c>
      <c r="E8" s="6">
        <v>100</v>
      </c>
      <c r="G8" s="8" t="s">
        <v>33</v>
      </c>
      <c r="H8" s="2" t="s">
        <v>31</v>
      </c>
      <c r="I8" s="9">
        <f>500000-I9</f>
        <v>144167.75884665793</v>
      </c>
      <c r="M8" s="2" t="s">
        <v>31</v>
      </c>
      <c r="N8" s="9">
        <f>I8/K18</f>
        <v>160186.3987185088</v>
      </c>
    </row>
    <row r="9" spans="1:14" x14ac:dyDescent="0.15">
      <c r="A9" s="2" t="s">
        <v>22</v>
      </c>
      <c r="B9" s="7"/>
      <c r="C9" s="2" t="s">
        <v>25</v>
      </c>
      <c r="D9" s="6"/>
      <c r="E9" s="6"/>
      <c r="G9" s="8" t="s">
        <v>34</v>
      </c>
      <c r="H9" s="2" t="s">
        <v>32</v>
      </c>
      <c r="I9" s="9">
        <f>(500000*B16)/B37</f>
        <v>355832.24115334207</v>
      </c>
      <c r="M9" s="2" t="s">
        <v>32</v>
      </c>
      <c r="N9" s="9">
        <f>I9/K19</f>
        <v>323483.85559394729</v>
      </c>
    </row>
    <row r="10" spans="1:14" x14ac:dyDescent="0.15">
      <c r="A10" s="2" t="s">
        <v>23</v>
      </c>
      <c r="B10" s="7"/>
      <c r="D10" s="10" t="s">
        <v>11</v>
      </c>
      <c r="E10" s="11">
        <f>(E7/B11)*1000</f>
        <v>29.411764705882351</v>
      </c>
      <c r="H10" s="2" t="s">
        <v>4</v>
      </c>
      <c r="I10" s="9">
        <f>SUM(I8+I9)</f>
        <v>500000</v>
      </c>
      <c r="M10" s="2" t="s">
        <v>4</v>
      </c>
      <c r="N10" s="9">
        <f>SUM(N8+N9)</f>
        <v>483670.25431245612</v>
      </c>
    </row>
    <row r="11" spans="1:14" x14ac:dyDescent="0.15">
      <c r="A11" s="2" t="s">
        <v>24</v>
      </c>
      <c r="B11" s="24">
        <v>3400000</v>
      </c>
    </row>
    <row r="12" spans="1:14" x14ac:dyDescent="0.15">
      <c r="A12" s="2" t="s">
        <v>4</v>
      </c>
      <c r="B12" s="2">
        <f>B11*B8</f>
        <v>5440000</v>
      </c>
      <c r="H12" s="20" t="s">
        <v>52</v>
      </c>
      <c r="I12" s="21">
        <f>(I8/B11)*1000</f>
        <v>42.402282013722917</v>
      </c>
      <c r="M12" s="20" t="s">
        <v>52</v>
      </c>
      <c r="N12" s="21">
        <f>(N8/B11)*1000</f>
        <v>47.113646681914354</v>
      </c>
    </row>
    <row r="13" spans="1:14" x14ac:dyDescent="0.15">
      <c r="H13" s="19" t="s">
        <v>53</v>
      </c>
      <c r="I13" s="22">
        <f>(I9/B25)*1000</f>
        <v>86.788351500815139</v>
      </c>
      <c r="M13" s="19" t="s">
        <v>53</v>
      </c>
      <c r="N13" s="22">
        <f>(N9/B25)*1000</f>
        <v>78.898501364377381</v>
      </c>
    </row>
    <row r="14" spans="1:14" x14ac:dyDescent="0.15">
      <c r="H14" s="3" t="s">
        <v>51</v>
      </c>
      <c r="I14" s="23">
        <f>SUM(I12:I13)</f>
        <v>129.19063351453806</v>
      </c>
      <c r="M14" s="3" t="s">
        <v>30</v>
      </c>
      <c r="N14" s="23">
        <f>SUM(N12:N13)</f>
        <v>126.01214804629174</v>
      </c>
    </row>
    <row r="16" spans="1:14" x14ac:dyDescent="0.15">
      <c r="A16" s="3" t="s">
        <v>19</v>
      </c>
      <c r="B16" s="2">
        <v>0.54300000000000004</v>
      </c>
    </row>
    <row r="17" spans="1:17" x14ac:dyDescent="0.15">
      <c r="A17" s="2" t="s">
        <v>9</v>
      </c>
      <c r="B17" s="2">
        <f>B11*B16</f>
        <v>1846200.0000000002</v>
      </c>
      <c r="G17" s="12"/>
      <c r="H17" s="13" t="s">
        <v>40</v>
      </c>
      <c r="I17" s="13" t="s">
        <v>44</v>
      </c>
      <c r="J17" s="13" t="s">
        <v>42</v>
      </c>
      <c r="K17" s="13" t="s">
        <v>43</v>
      </c>
      <c r="L17" s="3"/>
      <c r="M17" s="13" t="s">
        <v>40</v>
      </c>
      <c r="N17" s="13" t="s">
        <v>44</v>
      </c>
      <c r="O17" s="13" t="s">
        <v>42</v>
      </c>
      <c r="P17" s="13" t="s">
        <v>43</v>
      </c>
      <c r="Q17" s="14"/>
    </row>
    <row r="18" spans="1:17" x14ac:dyDescent="0.15">
      <c r="A18" s="2" t="s">
        <v>8</v>
      </c>
      <c r="B18" s="2">
        <f>B17*B8</f>
        <v>2953920.0000000005</v>
      </c>
      <c r="H18" s="14" t="s">
        <v>15</v>
      </c>
      <c r="I18" s="15">
        <v>0.45</v>
      </c>
      <c r="J18" s="14">
        <v>0.5</v>
      </c>
      <c r="K18" s="14">
        <f>I18/J18</f>
        <v>0.9</v>
      </c>
      <c r="M18" s="14" t="s">
        <v>15</v>
      </c>
      <c r="N18" s="15">
        <v>0.49</v>
      </c>
      <c r="O18" s="14">
        <v>0.5</v>
      </c>
      <c r="P18" s="14">
        <f>N18/O18</f>
        <v>0.98</v>
      </c>
      <c r="Q18" s="14" t="s">
        <v>49</v>
      </c>
    </row>
    <row r="19" spans="1:17" x14ac:dyDescent="0.15">
      <c r="H19" s="14" t="s">
        <v>41</v>
      </c>
      <c r="I19" s="15">
        <v>0.55000000000000004</v>
      </c>
      <c r="J19" s="14">
        <v>0.5</v>
      </c>
      <c r="K19" s="14">
        <f>I19/J19</f>
        <v>1.1000000000000001</v>
      </c>
      <c r="M19" s="14" t="s">
        <v>41</v>
      </c>
      <c r="N19" s="15">
        <v>0.51</v>
      </c>
      <c r="O19" s="14">
        <v>0.5</v>
      </c>
      <c r="P19" s="14">
        <f>N19/O19</f>
        <v>1.02</v>
      </c>
      <c r="Q19" s="14" t="s">
        <v>49</v>
      </c>
    </row>
    <row r="21" spans="1:17" x14ac:dyDescent="0.15">
      <c r="A21" s="16" t="s">
        <v>21</v>
      </c>
      <c r="B21" s="2" t="s">
        <v>18</v>
      </c>
      <c r="D21" s="5" t="s">
        <v>10</v>
      </c>
      <c r="E21" s="6">
        <v>100000</v>
      </c>
    </row>
    <row r="22" spans="1:17" x14ac:dyDescent="0.15">
      <c r="A22" s="2" t="s">
        <v>5</v>
      </c>
      <c r="B22" s="7">
        <v>1.6</v>
      </c>
      <c r="D22" s="6" t="s">
        <v>12</v>
      </c>
      <c r="E22" s="6">
        <v>100</v>
      </c>
      <c r="H22" s="17" t="s">
        <v>38</v>
      </c>
      <c r="I22" s="17" t="s">
        <v>45</v>
      </c>
      <c r="J22" s="17" t="s">
        <v>46</v>
      </c>
      <c r="K22" s="3"/>
      <c r="L22" s="3"/>
      <c r="M22" s="17" t="s">
        <v>38</v>
      </c>
      <c r="N22" s="17" t="s">
        <v>45</v>
      </c>
      <c r="O22" s="17" t="s">
        <v>46</v>
      </c>
    </row>
    <row r="23" spans="1:17" x14ac:dyDescent="0.15">
      <c r="A23" s="2" t="s">
        <v>22</v>
      </c>
      <c r="B23" s="7"/>
      <c r="C23" s="2" t="s">
        <v>25</v>
      </c>
      <c r="D23" s="6"/>
      <c r="E23" s="6"/>
      <c r="H23" s="2" t="s">
        <v>31</v>
      </c>
      <c r="I23" s="9">
        <f>2*I8</f>
        <v>288335.51769331587</v>
      </c>
      <c r="J23" s="9">
        <f>$I$37*I23</f>
        <v>2595019.6592398426</v>
      </c>
      <c r="L23" s="3"/>
      <c r="M23" s="2" t="s">
        <v>31</v>
      </c>
      <c r="N23" s="9">
        <f>4*N8</f>
        <v>640745.59487403522</v>
      </c>
      <c r="O23" s="9">
        <f>$I$37*N23</f>
        <v>5766710.3538663173</v>
      </c>
    </row>
    <row r="24" spans="1:17" x14ac:dyDescent="0.15">
      <c r="A24" s="2" t="s">
        <v>23</v>
      </c>
      <c r="B24" s="7"/>
      <c r="D24" s="10" t="s">
        <v>11</v>
      </c>
      <c r="E24" s="11">
        <f>(E21/B25)*1000</f>
        <v>24.390243902439025</v>
      </c>
      <c r="H24" s="2" t="s">
        <v>32</v>
      </c>
      <c r="I24" s="9">
        <f>2*I9</f>
        <v>711664.48230668413</v>
      </c>
      <c r="J24" s="9">
        <f>$I$37*I24</f>
        <v>6404980.3407601574</v>
      </c>
      <c r="K24" s="3"/>
      <c r="L24" s="3"/>
      <c r="M24" s="2" t="s">
        <v>32</v>
      </c>
      <c r="N24" s="9">
        <f>4*N9</f>
        <v>1293935.4223757891</v>
      </c>
      <c r="O24" s="9">
        <f>$I$37*N24</f>
        <v>11645418.801382102</v>
      </c>
    </row>
    <row r="25" spans="1:17" x14ac:dyDescent="0.15">
      <c r="A25" s="2" t="s">
        <v>3</v>
      </c>
      <c r="B25" s="24">
        <v>4100000</v>
      </c>
      <c r="I25" s="9"/>
      <c r="J25" s="9"/>
      <c r="N25" s="9"/>
      <c r="O25" s="9"/>
    </row>
    <row r="26" spans="1:17" x14ac:dyDescent="0.15">
      <c r="A26" s="2" t="s">
        <v>4</v>
      </c>
      <c r="B26" s="2">
        <f>B25*B22</f>
        <v>6560000</v>
      </c>
      <c r="H26" s="2" t="s">
        <v>27</v>
      </c>
      <c r="I26" s="9">
        <f>(I23/B11)*1000</f>
        <v>84.804564027445835</v>
      </c>
      <c r="J26" s="9">
        <f>(J23/B11)*1000</f>
        <v>763.24107624701253</v>
      </c>
      <c r="M26" s="2" t="s">
        <v>27</v>
      </c>
      <c r="N26" s="9">
        <f>(N23/B11)*1000</f>
        <v>188.45458672765741</v>
      </c>
      <c r="O26" s="9">
        <f>(O23/B11)*1000</f>
        <v>1696.0912805489168</v>
      </c>
    </row>
    <row r="27" spans="1:17" x14ac:dyDescent="0.15">
      <c r="H27" s="2" t="s">
        <v>28</v>
      </c>
      <c r="I27" s="9">
        <f>(I24/B25)*1000</f>
        <v>173.57670300163028</v>
      </c>
      <c r="J27" s="9">
        <f>(J24/B25)*1000</f>
        <v>1562.1903270146727</v>
      </c>
      <c r="M27" s="2" t="s">
        <v>28</v>
      </c>
      <c r="N27" s="9">
        <f>(N24/B25)*1000</f>
        <v>315.59400545750952</v>
      </c>
      <c r="O27" s="9">
        <f>(O24/B25)*1000</f>
        <v>2840.3460491175856</v>
      </c>
    </row>
    <row r="29" spans="1:17" x14ac:dyDescent="0.15">
      <c r="H29" s="2" t="s">
        <v>51</v>
      </c>
      <c r="I29" s="9">
        <f>SUM(I26:I27)</f>
        <v>258.38126702907613</v>
      </c>
      <c r="J29" s="9">
        <f>SUM(J26:J27)</f>
        <v>2325.4314032616853</v>
      </c>
      <c r="M29" s="2" t="s">
        <v>51</v>
      </c>
      <c r="N29" s="9">
        <f>SUM(N26:N27)</f>
        <v>504.04859218516697</v>
      </c>
      <c r="O29" s="9">
        <f>SUM(O26:O27)</f>
        <v>4536.4373296665026</v>
      </c>
    </row>
    <row r="30" spans="1:17" x14ac:dyDescent="0.15">
      <c r="A30" s="3" t="s">
        <v>20</v>
      </c>
      <c r="B30" s="2">
        <v>0.22</v>
      </c>
    </row>
    <row r="31" spans="1:17" x14ac:dyDescent="0.15">
      <c r="A31" s="2" t="s">
        <v>9</v>
      </c>
      <c r="B31" s="2">
        <f>B25*B30</f>
        <v>902000</v>
      </c>
      <c r="H31" s="2" t="s">
        <v>54</v>
      </c>
      <c r="I31" s="9"/>
      <c r="J31" s="9">
        <f>I37*200</f>
        <v>1800</v>
      </c>
      <c r="M31" s="2" t="s">
        <v>54</v>
      </c>
      <c r="N31" s="9"/>
      <c r="O31" s="9">
        <f>I37*200</f>
        <v>1800</v>
      </c>
    </row>
    <row r="32" spans="1:17" x14ac:dyDescent="0.15">
      <c r="A32" s="2" t="s">
        <v>8</v>
      </c>
      <c r="B32" s="2">
        <f>B31*B22</f>
        <v>1443200</v>
      </c>
      <c r="H32" s="2" t="s">
        <v>50</v>
      </c>
      <c r="I32" s="9"/>
      <c r="J32" s="9">
        <f>J31-J29</f>
        <v>-525.43140326168532</v>
      </c>
      <c r="M32" s="2" t="s">
        <v>50</v>
      </c>
      <c r="N32" s="9"/>
      <c r="O32" s="9">
        <f>O31-O29</f>
        <v>-2736.4373296665026</v>
      </c>
    </row>
    <row r="33" spans="1:15" x14ac:dyDescent="0.15">
      <c r="D33" s="3" t="s">
        <v>13</v>
      </c>
      <c r="I33" s="9"/>
      <c r="J33" s="9"/>
      <c r="K33" s="18"/>
      <c r="L33" s="18"/>
      <c r="N33" s="9"/>
      <c r="O33" s="9"/>
    </row>
    <row r="34" spans="1:15" x14ac:dyDescent="0.15">
      <c r="D34" s="2" t="s">
        <v>14</v>
      </c>
      <c r="I34" s="9"/>
      <c r="J34" s="9"/>
      <c r="N34" s="9"/>
      <c r="O34" s="9"/>
    </row>
    <row r="35" spans="1:15" x14ac:dyDescent="0.15">
      <c r="D35" s="2" t="s">
        <v>15</v>
      </c>
      <c r="H35" s="3" t="s">
        <v>4</v>
      </c>
      <c r="I35" s="9">
        <f>SUM(I23+I24)</f>
        <v>1000000</v>
      </c>
      <c r="J35" s="9">
        <f>SUM(J23:J24)</f>
        <v>9000000</v>
      </c>
      <c r="M35" s="3" t="s">
        <v>4</v>
      </c>
      <c r="N35" s="9">
        <f>SUM(N23+N24)</f>
        <v>1934681.0172498245</v>
      </c>
      <c r="O35" s="9">
        <f>SUM(O23:O24)</f>
        <v>17412129.155248418</v>
      </c>
    </row>
    <row r="36" spans="1:15" x14ac:dyDescent="0.15">
      <c r="D36" s="2" t="s">
        <v>16</v>
      </c>
    </row>
    <row r="37" spans="1:15" x14ac:dyDescent="0.15">
      <c r="A37" s="13" t="s">
        <v>37</v>
      </c>
      <c r="B37" s="13">
        <f>B16+B30</f>
        <v>0.76300000000000001</v>
      </c>
      <c r="D37" s="2" t="s">
        <v>17</v>
      </c>
      <c r="H37" s="19" t="s">
        <v>39</v>
      </c>
      <c r="I37" s="7">
        <v>9</v>
      </c>
      <c r="M37" s="18"/>
      <c r="N37" s="18"/>
    </row>
    <row r="38" spans="1:15" x14ac:dyDescent="0.15">
      <c r="D38" s="2" t="s">
        <v>57</v>
      </c>
    </row>
    <row r="39" spans="1:15" x14ac:dyDescent="0.15">
      <c r="H39" s="3" t="s">
        <v>55</v>
      </c>
    </row>
  </sheetData>
  <conditionalFormatting sqref="J26:J27 O26:O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miguel reina campos</cp:lastModifiedBy>
  <dcterms:created xsi:type="dcterms:W3CDTF">2019-12-18T22:41:49Z</dcterms:created>
  <dcterms:modified xsi:type="dcterms:W3CDTF">2019-12-20T02:41:30Z</dcterms:modified>
</cp:coreProperties>
</file>