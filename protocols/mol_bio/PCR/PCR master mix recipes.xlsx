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goldrathlab/Goldrath Protocols/Curated protocols/"/>
    </mc:Choice>
  </mc:AlternateContent>
  <xr:revisionPtr revIDLastSave="0" documentId="13_ncr:1_{F7C38550-97BA-4143-AE6C-329F8E988231}" xr6:coauthVersionLast="47" xr6:coauthVersionMax="47" xr10:uidLastSave="{00000000-0000-0000-0000-000000000000}"/>
  <bookViews>
    <workbookView xWindow="35860" yWindow="1320" windowWidth="28240" windowHeight="17540" tabRatio="732" firstSheet="16" activeTab="27" xr2:uid="{00000000-000D-0000-FFFF-FFFF00000000}"/>
  </bookViews>
  <sheets>
    <sheet name="Id2flox" sheetId="1" r:id="rId1"/>
    <sheet name="Id2flox_op USE THIS ONE" sheetId="26" r:id="rId2"/>
    <sheet name="Id2flox Alt" sheetId="25" r:id="rId3"/>
    <sheet name="Id3flox USE THIS ONE" sheetId="18" r:id="rId4"/>
    <sheet name="Id3flox" sheetId="2" r:id="rId5"/>
    <sheet name="P14" sheetId="12" r:id="rId6"/>
    <sheet name="Cre" sheetId="15" r:id="rId7"/>
    <sheet name="PLZF Cre" sheetId="13" r:id="rId8"/>
    <sheet name="dLCK Cre" sheetId="4" r:id="rId9"/>
    <sheet name="Cre Reporter" sheetId="5" r:id="rId10"/>
    <sheet name="FOXO1" sheetId="3" r:id="rId11"/>
    <sheet name="NKT (va14g)" sheetId="17" r:id="rId12"/>
    <sheet name="HEB KO" sheetId="16" r:id="rId13"/>
    <sheet name="HEBflox" sheetId="6" r:id="rId14"/>
    <sheet name="E2Aflox" sheetId="7" r:id="rId15"/>
    <sheet name="Zeb2flox" sheetId="8" r:id="rId16"/>
    <sheet name="Tbetflox" sheetId="9" r:id="rId17"/>
    <sheet name="OT-I" sheetId="10" r:id="rId18"/>
    <sheet name="Bhlhe40" sheetId="11" r:id="rId19"/>
    <sheet name="HIFVHL" sheetId="14" r:id="rId20"/>
    <sheet name="HIF2" sheetId="19" r:id="rId21"/>
    <sheet name="E2-2 Reporter" sheetId="21" r:id="rId22"/>
    <sheet name="E2-2 Conditional" sheetId="23" r:id="rId23"/>
    <sheet name="RagKO" sheetId="27" r:id="rId24"/>
    <sheet name="USP1" sheetId="22" r:id="rId25"/>
    <sheet name="ER cre" sheetId="24" r:id="rId26"/>
    <sheet name="ER cre updated" sheetId="28" r:id="rId27"/>
    <sheet name="ID2KOID3KI" sheetId="30" r:id="rId28"/>
  </sheets>
  <definedNames>
    <definedName name="_xlnm.Print_Area" localSheetId="18">Bhlhe40!$A$1:$C$25</definedName>
    <definedName name="_xlnm.Print_Area" localSheetId="0">Id2flox!$A$1:$C$12</definedName>
    <definedName name="_xlnm.Print_Area" localSheetId="1">'Id2flox_op USE THIS ONE'!$A$1:$C$11</definedName>
    <definedName name="_xlnm.Print_Area" localSheetId="3">'Id3flox USE THIS ONE'!$A$1:$C$24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5" i="30" l="1"/>
  <c r="C24" i="30"/>
  <c r="C23" i="30"/>
  <c r="C22" i="30"/>
  <c r="C21" i="30"/>
  <c r="C20" i="30"/>
  <c r="C19" i="30"/>
  <c r="C18" i="30"/>
  <c r="C17" i="30"/>
  <c r="C11" i="30"/>
  <c r="C10" i="30"/>
  <c r="C9" i="30"/>
  <c r="C8" i="30"/>
  <c r="C7" i="30"/>
  <c r="C6" i="30"/>
  <c r="C5" i="30"/>
  <c r="C4" i="30"/>
  <c r="C3" i="30"/>
  <c r="C8" i="28"/>
  <c r="C12" i="28"/>
  <c r="C11" i="28"/>
  <c r="C10" i="28"/>
  <c r="C9" i="28"/>
  <c r="C7" i="28"/>
  <c r="C6" i="28"/>
  <c r="C5" i="28"/>
  <c r="C4" i="28"/>
  <c r="C3" i="28"/>
  <c r="C25" i="11"/>
  <c r="C24" i="11"/>
  <c r="C23" i="11"/>
  <c r="C22" i="11"/>
  <c r="C21" i="11"/>
  <c r="C20" i="11"/>
  <c r="C19" i="11"/>
  <c r="C18" i="11"/>
  <c r="C17" i="11"/>
  <c r="C11" i="11"/>
  <c r="C10" i="11"/>
  <c r="C9" i="11"/>
  <c r="C8" i="11"/>
  <c r="C7" i="11"/>
  <c r="C6" i="11"/>
  <c r="C5" i="11"/>
  <c r="C4" i="11"/>
  <c r="C3" i="11"/>
  <c r="C11" i="15"/>
  <c r="C10" i="15"/>
  <c r="C9" i="15"/>
  <c r="C8" i="15"/>
  <c r="C7" i="15"/>
  <c r="C6" i="15"/>
  <c r="C5" i="15"/>
  <c r="C4" i="15"/>
  <c r="C3" i="15"/>
  <c r="B13" i="5"/>
  <c r="C13" i="5" s="1"/>
  <c r="C9" i="5"/>
  <c r="C8" i="5"/>
  <c r="C12" i="5"/>
  <c r="C11" i="5"/>
  <c r="C10" i="5"/>
  <c r="C7" i="5"/>
  <c r="C6" i="5"/>
  <c r="C5" i="5"/>
  <c r="C4" i="5"/>
  <c r="C3" i="5"/>
  <c r="C11" i="4"/>
  <c r="C10" i="4"/>
  <c r="C9" i="4"/>
  <c r="C8" i="4"/>
  <c r="C7" i="4"/>
  <c r="C6" i="4"/>
  <c r="C5" i="4"/>
  <c r="C4" i="4"/>
  <c r="C3" i="4"/>
  <c r="C68" i="23"/>
  <c r="C67" i="23"/>
  <c r="C66" i="23"/>
  <c r="C65" i="23"/>
  <c r="C64" i="23"/>
  <c r="C63" i="23"/>
  <c r="C62" i="23"/>
  <c r="C61" i="23"/>
  <c r="C60" i="23"/>
  <c r="C59" i="23"/>
  <c r="C54" i="23"/>
  <c r="C53" i="23"/>
  <c r="C52" i="23"/>
  <c r="C51" i="23"/>
  <c r="C50" i="23"/>
  <c r="C49" i="23"/>
  <c r="C48" i="23"/>
  <c r="C47" i="23"/>
  <c r="C46" i="23"/>
  <c r="C45" i="23"/>
  <c r="C39" i="23"/>
  <c r="C38" i="23"/>
  <c r="C37" i="23"/>
  <c r="C36" i="23"/>
  <c r="C35" i="23"/>
  <c r="C34" i="23"/>
  <c r="C33" i="23"/>
  <c r="C32" i="23"/>
  <c r="C31" i="23"/>
  <c r="C26" i="23"/>
  <c r="C25" i="23"/>
  <c r="C24" i="23"/>
  <c r="C23" i="23"/>
  <c r="C22" i="23"/>
  <c r="C21" i="23"/>
  <c r="C20" i="23"/>
  <c r="C19" i="23"/>
  <c r="C18" i="23"/>
  <c r="C17" i="23"/>
  <c r="C11" i="23"/>
  <c r="C10" i="23"/>
  <c r="C9" i="23"/>
  <c r="C8" i="23"/>
  <c r="C7" i="23"/>
  <c r="C6" i="23"/>
  <c r="C5" i="23"/>
  <c r="C4" i="23"/>
  <c r="C3" i="23"/>
  <c r="C39" i="21"/>
  <c r="C38" i="21"/>
  <c r="C37" i="21"/>
  <c r="C36" i="21"/>
  <c r="C35" i="21"/>
  <c r="C34" i="21"/>
  <c r="C33" i="21"/>
  <c r="C32" i="21"/>
  <c r="C31" i="21"/>
  <c r="C26" i="21"/>
  <c r="C25" i="21"/>
  <c r="C24" i="21"/>
  <c r="C23" i="21"/>
  <c r="C22" i="21"/>
  <c r="C21" i="21"/>
  <c r="C20" i="21"/>
  <c r="C19" i="21"/>
  <c r="C18" i="21"/>
  <c r="C17" i="21"/>
  <c r="C11" i="21"/>
  <c r="C10" i="21"/>
  <c r="C9" i="21"/>
  <c r="C8" i="21"/>
  <c r="C7" i="21"/>
  <c r="C6" i="21"/>
  <c r="C5" i="21"/>
  <c r="C4" i="21"/>
  <c r="C3" i="21"/>
  <c r="C5" i="7"/>
  <c r="B13" i="7"/>
  <c r="C13" i="7" s="1"/>
  <c r="C12" i="7"/>
  <c r="C11" i="7"/>
  <c r="C10" i="7"/>
  <c r="C9" i="7"/>
  <c r="C8" i="7"/>
  <c r="C7" i="7"/>
  <c r="C6" i="7"/>
  <c r="C4" i="7"/>
  <c r="C3" i="7"/>
  <c r="B12" i="24"/>
  <c r="C12" i="24" s="1"/>
  <c r="C11" i="24"/>
  <c r="C10" i="24"/>
  <c r="C9" i="24"/>
  <c r="C8" i="24"/>
  <c r="C7" i="24"/>
  <c r="C6" i="24"/>
  <c r="C5" i="24"/>
  <c r="C4" i="24"/>
  <c r="C3" i="24"/>
  <c r="C11" i="3"/>
  <c r="C10" i="3"/>
  <c r="C9" i="3"/>
  <c r="C8" i="3"/>
  <c r="C7" i="3"/>
  <c r="C6" i="3"/>
  <c r="C5" i="3"/>
  <c r="C4" i="3"/>
  <c r="C3" i="3"/>
  <c r="C8" i="16"/>
  <c r="B12" i="16"/>
  <c r="C12" i="16" s="1"/>
  <c r="C11" i="16"/>
  <c r="C10" i="16"/>
  <c r="C9" i="16"/>
  <c r="C7" i="16"/>
  <c r="C6" i="16"/>
  <c r="C5" i="16"/>
  <c r="C4" i="16"/>
  <c r="C3" i="16"/>
  <c r="B11" i="6"/>
  <c r="C11" i="6"/>
  <c r="C10" i="6"/>
  <c r="C9" i="6"/>
  <c r="C8" i="6"/>
  <c r="C7" i="6"/>
  <c r="C6" i="6"/>
  <c r="C5" i="6"/>
  <c r="C4" i="6"/>
  <c r="C3" i="6"/>
  <c r="C3" i="19"/>
  <c r="C4" i="19"/>
  <c r="C5" i="19"/>
  <c r="C11" i="19" s="1"/>
  <c r="C6" i="19"/>
  <c r="C7" i="19"/>
  <c r="C8" i="19"/>
  <c r="C9" i="19"/>
  <c r="C10" i="19"/>
  <c r="B11" i="19"/>
  <c r="C3" i="14"/>
  <c r="C4" i="14"/>
  <c r="C5" i="14"/>
  <c r="C6" i="14"/>
  <c r="C7" i="14"/>
  <c r="C8" i="14"/>
  <c r="C11" i="14" s="1"/>
  <c r="C9" i="14"/>
  <c r="C10" i="14"/>
  <c r="B11" i="14"/>
  <c r="C3" i="1"/>
  <c r="C12" i="1" s="1"/>
  <c r="C4" i="1"/>
  <c r="C5" i="1"/>
  <c r="C6" i="1"/>
  <c r="C7" i="1"/>
  <c r="C8" i="1"/>
  <c r="C9" i="1"/>
  <c r="C10" i="1"/>
  <c r="C11" i="1"/>
  <c r="B12" i="1"/>
  <c r="C3" i="25"/>
  <c r="C4" i="25"/>
  <c r="C5" i="25"/>
  <c r="C6" i="25"/>
  <c r="C7" i="25"/>
  <c r="C8" i="25"/>
  <c r="C9" i="25"/>
  <c r="C10" i="25"/>
  <c r="C11" i="25"/>
  <c r="C12" i="25"/>
  <c r="B12" i="25"/>
  <c r="C6" i="26"/>
  <c r="C3" i="26"/>
  <c r="C4" i="26"/>
  <c r="C5" i="26"/>
  <c r="C7" i="26"/>
  <c r="C8" i="26"/>
  <c r="C9" i="26"/>
  <c r="C10" i="26"/>
  <c r="B11" i="26"/>
  <c r="B12" i="2"/>
  <c r="C11" i="2"/>
  <c r="C10" i="2"/>
  <c r="C9" i="2"/>
  <c r="C8" i="2"/>
  <c r="C7" i="2"/>
  <c r="C6" i="2"/>
  <c r="C5" i="2"/>
  <c r="C4" i="2"/>
  <c r="C3" i="2"/>
  <c r="C12" i="2" s="1"/>
  <c r="C3" i="18"/>
  <c r="C4" i="18"/>
  <c r="C11" i="18" s="1"/>
  <c r="C5" i="18"/>
  <c r="C6" i="18"/>
  <c r="C7" i="18"/>
  <c r="C8" i="18"/>
  <c r="C9" i="18"/>
  <c r="C10" i="18"/>
  <c r="B11" i="18"/>
  <c r="B11" i="17"/>
  <c r="C11" i="17"/>
  <c r="C10" i="17"/>
  <c r="C9" i="17"/>
  <c r="C8" i="17"/>
  <c r="C7" i="17"/>
  <c r="C6" i="17"/>
  <c r="C5" i="17"/>
  <c r="C4" i="17"/>
  <c r="C3" i="17"/>
  <c r="B11" i="10"/>
  <c r="C10" i="10"/>
  <c r="C9" i="10"/>
  <c r="C8" i="10"/>
  <c r="C7" i="10"/>
  <c r="C6" i="10"/>
  <c r="C5" i="10"/>
  <c r="C4" i="10"/>
  <c r="C11" i="10" s="1"/>
  <c r="C3" i="10"/>
  <c r="C11" i="12"/>
  <c r="C10" i="12"/>
  <c r="C9" i="12"/>
  <c r="C8" i="12"/>
  <c r="C7" i="12"/>
  <c r="C6" i="12"/>
  <c r="C5" i="12"/>
  <c r="C4" i="12"/>
  <c r="C3" i="12"/>
  <c r="C11" i="13"/>
  <c r="C10" i="13"/>
  <c r="C9" i="13"/>
  <c r="C8" i="13"/>
  <c r="C7" i="13"/>
  <c r="C6" i="13"/>
  <c r="C5" i="13"/>
  <c r="C4" i="13"/>
  <c r="C3" i="13"/>
  <c r="C12" i="9"/>
  <c r="C11" i="9"/>
  <c r="C10" i="9"/>
  <c r="C9" i="9"/>
  <c r="C8" i="9"/>
  <c r="C7" i="9"/>
  <c r="C6" i="9"/>
  <c r="C5" i="9"/>
  <c r="C4" i="9"/>
  <c r="C3" i="9"/>
  <c r="C52" i="22"/>
  <c r="C51" i="22"/>
  <c r="C50" i="22"/>
  <c r="C49" i="22"/>
  <c r="C48" i="22"/>
  <c r="C47" i="22"/>
  <c r="C46" i="22"/>
  <c r="C45" i="22"/>
  <c r="C44" i="22"/>
  <c r="C38" i="22"/>
  <c r="C37" i="22"/>
  <c r="C36" i="22"/>
  <c r="C35" i="22"/>
  <c r="C34" i="22"/>
  <c r="C33" i="22"/>
  <c r="C32" i="22"/>
  <c r="C31" i="22"/>
  <c r="C30" i="22"/>
  <c r="C24" i="22"/>
  <c r="C23" i="22"/>
  <c r="C22" i="22"/>
  <c r="C21" i="22"/>
  <c r="C20" i="22"/>
  <c r="C19" i="22"/>
  <c r="C18" i="22"/>
  <c r="C17" i="22"/>
  <c r="C16" i="22"/>
  <c r="C11" i="22"/>
  <c r="C10" i="22"/>
  <c r="C9" i="22"/>
  <c r="C8" i="22"/>
  <c r="C7" i="22"/>
  <c r="C6" i="22"/>
  <c r="C5" i="22"/>
  <c r="C4" i="22"/>
  <c r="C3" i="22"/>
  <c r="C7" i="8"/>
  <c r="C12" i="8"/>
  <c r="C11" i="8"/>
  <c r="C10" i="8"/>
  <c r="C9" i="8"/>
  <c r="C8" i="8"/>
  <c r="C6" i="8"/>
  <c r="C5" i="8"/>
  <c r="C4" i="8"/>
  <c r="C3" i="8"/>
  <c r="C11" i="26" l="1"/>
</calcChain>
</file>

<file path=xl/sharedStrings.xml><?xml version="1.0" encoding="utf-8"?>
<sst xmlns="http://schemas.openxmlformats.org/spreadsheetml/2006/main" count="995" uniqueCount="239">
  <si>
    <t>5x buffer</t>
  </si>
  <si>
    <t>MgCl2</t>
  </si>
  <si>
    <t>DNTP</t>
  </si>
  <si>
    <t>DMSO</t>
  </si>
  <si>
    <t>P1</t>
  </si>
  <si>
    <t>P2</t>
  </si>
  <si>
    <t>Taq</t>
  </si>
  <si>
    <t>H20</t>
  </si>
  <si>
    <t>DNA</t>
  </si>
  <si>
    <t>x1</t>
  </si>
  <si>
    <t>Total</t>
  </si>
  <si>
    <t>dLCK cre</t>
  </si>
  <si>
    <t>cre reporter</t>
  </si>
  <si>
    <t>10x buffer</t>
  </si>
  <si>
    <t>B-ine</t>
  </si>
  <si>
    <t>P3</t>
  </si>
  <si>
    <t>P4</t>
  </si>
  <si>
    <t xml:space="preserve">Id2 f/f </t>
  </si>
  <si>
    <t>OT-1</t>
  </si>
  <si>
    <t>Bhlhe40 WT</t>
  </si>
  <si>
    <t>RT-1</t>
  </si>
  <si>
    <t>RT-2</t>
  </si>
  <si>
    <t>Bhlhe40 KO</t>
  </si>
  <si>
    <t>RT-3</t>
  </si>
  <si>
    <t>Tbetflox</t>
  </si>
  <si>
    <t>Zeb2 flox</t>
  </si>
  <si>
    <t>E2A flox</t>
  </si>
  <si>
    <t>Heb flox</t>
  </si>
  <si>
    <t>Id3flox</t>
  </si>
  <si>
    <t>Folder</t>
  </si>
  <si>
    <t>PCR name</t>
  </si>
  <si>
    <t>PCR cycle</t>
  </si>
  <si>
    <t>Primer Squence</t>
  </si>
  <si>
    <t>Band Size</t>
  </si>
  <si>
    <t>ID3flox</t>
  </si>
  <si>
    <t>1. Incubate at 94°C for 4:00</t>
  </si>
  <si>
    <t>2. Incubate at 94°C for 0:30</t>
  </si>
  <si>
    <t>3. Incubate at 55°C for 0:30</t>
  </si>
  <si>
    <t>4. Incubate at 72°C for 0:45</t>
  </si>
  <si>
    <t>5. Cycle to step 2, 35 times</t>
  </si>
  <si>
    <t>6. Incubate at 72°C for 3:00</t>
  </si>
  <si>
    <t>ID3flox F- GCTCTGAGGTCATAAATCCC</t>
  </si>
  <si>
    <t>ID3flox R- CCATTTGGTTCTATGTATGCCCGTG</t>
  </si>
  <si>
    <t>Kyla</t>
  </si>
  <si>
    <t>55 P14</t>
  </si>
  <si>
    <t xml:space="preserve">Vbeta8-
Cbeta2-
</t>
  </si>
  <si>
    <t>1. Incubate at 95°C for 3:00</t>
  </si>
  <si>
    <t>2. Incubate at 94°C for 1:00</t>
  </si>
  <si>
    <t>3. Incubate at 55°C for 1:00</t>
  </si>
  <si>
    <t>4. Incubate at 72°C for 1:00</t>
  </si>
  <si>
    <t>5. Cycle to step 2, 34 times</t>
  </si>
  <si>
    <t>P14</t>
  </si>
  <si>
    <t>Cre</t>
  </si>
  <si>
    <t>1. Incubate at 94°C for 3:00</t>
  </si>
  <si>
    <t>3. Incubate at 51°C for 0:30</t>
  </si>
  <si>
    <t>4. Incubate at 72°C for 0:30</t>
  </si>
  <si>
    <t>6. Incubate at 72°C for 5:00</t>
  </si>
  <si>
    <t>FOXO1</t>
  </si>
  <si>
    <t>1. Incubate at 94°C for 5:00</t>
  </si>
  <si>
    <t>2. Incubate at 95°C for 0:30</t>
  </si>
  <si>
    <t>3. Incubate at 58°C for 0:30</t>
  </si>
  <si>
    <t>7.Incubate at 4°C for 5:00</t>
  </si>
  <si>
    <t>Cre R- gtgaaacagcattgctgtcactt</t>
  </si>
  <si>
    <t>Cre F-gCggTCTggCAgTAAAAACTATC</t>
  </si>
  <si>
    <t>Vbeta8-</t>
  </si>
  <si>
    <t>Cbeta2-</t>
  </si>
  <si>
    <t>1. Incubate at 94°C for 2:00</t>
  </si>
  <si>
    <t>2. Incubate at 94°C for 0:15</t>
  </si>
  <si>
    <t>3. Incubate at 60°C for 0:15</t>
  </si>
  <si>
    <t xml:space="preserve"> USE NEB TAQ AS OUR LAB STOCK IS CONTAMINATED WITH LACZ AND CAN GET FALSE POSITIVES</t>
  </si>
  <si>
    <t>ID2flox_op</t>
  </si>
  <si>
    <t>3. Incubate at 60°C for 0:40</t>
  </si>
  <si>
    <t>PLZF</t>
    <phoneticPr fontId="6" type="noConversion"/>
  </si>
  <si>
    <t>ID2flox</t>
  </si>
  <si>
    <t>2. Incubate at 94°C for 0:40</t>
  </si>
  <si>
    <t>3. Incubate at 45°C for 0:40</t>
  </si>
  <si>
    <t>4. Incubate at 72°C for 0:50</t>
  </si>
  <si>
    <t>5. Cycle to step 2, 37 times</t>
  </si>
  <si>
    <t>ID2flox F- TTGTGCATAATTAATCGCATCA</t>
  </si>
  <si>
    <t>ID2flox R- TTGGGAAGTCACATTTGTAGTG</t>
  </si>
  <si>
    <t>WT-390bp</t>
  </si>
  <si>
    <t>Mut-430bp</t>
  </si>
  <si>
    <t>HEBflox</t>
  </si>
  <si>
    <t>Louise</t>
  </si>
  <si>
    <t>3. Incubate at 59.5°C for 0:30</t>
  </si>
  <si>
    <t>4. Incubate at 72°C for 1:30</t>
  </si>
  <si>
    <t>6. Incubate at 72°C for 10:00</t>
  </si>
  <si>
    <t>HEBflox F- CTG GGA CAG AAG TTC AGC ACT TAG TAC</t>
  </si>
  <si>
    <t>HEBflox R- CAT TCC TAT ACA TCA GCT TCT TGG ACG</t>
  </si>
  <si>
    <t>Deleted-0.5kb</t>
  </si>
  <si>
    <t>Flox- 1.3kb</t>
  </si>
  <si>
    <t>WT- 1.1kb</t>
  </si>
  <si>
    <t>E2Aflox</t>
  </si>
  <si>
    <t>3. Incubate at 65°C for 0:30</t>
  </si>
  <si>
    <t>5. Cycle to step 2, 39 times</t>
  </si>
  <si>
    <t>E2Aflox F1- GCCACCAGCACATCGTGCCTA</t>
  </si>
  <si>
    <t>E2Aflox R3- CCACATAAGAGGGCATGGAAG</t>
  </si>
  <si>
    <t>YZ150- ACATGGCTGAATATCGACGGT</t>
  </si>
  <si>
    <t>WT band- 850bp</t>
  </si>
  <si>
    <t>flox band- 1kb</t>
  </si>
  <si>
    <t>Adam</t>
  </si>
  <si>
    <t>Zeb Geno</t>
  </si>
  <si>
    <t>3. Incubate at 59°C for 1:00</t>
  </si>
  <si>
    <t>Sip1 geno P1 F-GAGCAGGTAACCGCAAGTTCAAGTG</t>
  </si>
  <si>
    <t>Sip1 geno P2 R- CTGTAGGACCCAGAATGAGAGAAGC</t>
  </si>
  <si>
    <t>Sip1 geno P3 R- ATCGGAGTCTGTCATGTCATCTAGG</t>
  </si>
  <si>
    <t>Cliff</t>
  </si>
  <si>
    <t>Tbet</t>
  </si>
  <si>
    <t>3. Incubate at 94°C for 0:30</t>
  </si>
  <si>
    <t>4. Incubate at 60°C for 0:30</t>
  </si>
  <si>
    <t>5.Incubate at 72° C for 0:30</t>
  </si>
  <si>
    <t>6. Cycle to step 2, 35 times</t>
  </si>
  <si>
    <t>7.Incubate at 10°C for 1:00</t>
  </si>
  <si>
    <t>Tbet IMR 1717- gcgcgaaggggccaccaaagaacggag</t>
  </si>
  <si>
    <t>Tbet IMR 1718- gactgaagccccgacccccactcctaag</t>
  </si>
  <si>
    <t>Tbet IMR 1719-tgggcatacaggaggcagcaacaaata</t>
  </si>
  <si>
    <t>Vb5 F- AAGGTGGAGAGAGACAAAGGA</t>
  </si>
  <si>
    <t>Vb5 R- CCAGTGCATGCATACCTCAG</t>
  </si>
  <si>
    <t>Laura</t>
  </si>
  <si>
    <t>Stra13 (Bhlhe40)</t>
  </si>
  <si>
    <t>WT and KO- 380-400bp</t>
  </si>
  <si>
    <t>7.Incubate at 10°C forever</t>
  </si>
  <si>
    <t>oIMR9020- AAG GGA GCT GCA GTG GAG TA</t>
  </si>
  <si>
    <t>oIMR9021- CCG AAA ATC TGT GGG AAG TC</t>
  </si>
  <si>
    <t>oIMR9103- GGC ATT AAA GCA GCG TAT CC</t>
  </si>
  <si>
    <t>oIMR9104- AAC CAG AAG TGG CAC CTG AC</t>
  </si>
  <si>
    <t>Wild type- 297bp</t>
  </si>
  <si>
    <t>Mutant- 199bp</t>
  </si>
  <si>
    <t>HIF1/VHL</t>
    <phoneticPr fontId="6" type="noConversion"/>
  </si>
  <si>
    <t>HIF2</t>
    <phoneticPr fontId="6" type="noConversion"/>
  </si>
  <si>
    <t>~600bp</t>
  </si>
  <si>
    <t>PLZF cre F- CGA TGC AAC GAG TGA TGA</t>
  </si>
  <si>
    <t>PLZF cre R- ATC GCT CGA CCA GTT TAG T</t>
  </si>
  <si>
    <t>HEB+/-</t>
  </si>
  <si>
    <t>HEB wt- TCT GAC TTG CTG TTC TAG ACT</t>
  </si>
  <si>
    <t>HEB ko- TGG ATT CAT CGA CTG TGG</t>
  </si>
  <si>
    <t>HEB com- GAA GGA GAG GCG GAT GGC TAA</t>
  </si>
  <si>
    <t>3. Incubate at 58°C for 0:45</t>
  </si>
  <si>
    <t>5. Cycle to step 2, 29 times</t>
  </si>
  <si>
    <t>7.Incubate at 4°C forever</t>
  </si>
  <si>
    <t>RT-1 (350rv)  5’-CGTTTTATTCCCCGCCTGGA-3’</t>
  </si>
  <si>
    <t>RT-2 (STRA13-2RV)  5’-GGAAGCTCAGGCTAGCTCAT-3’</t>
  </si>
  <si>
    <t xml:space="preserve">RT-3 (STRA13-NEO1) 5’-TCGATTCCACCGCCGCCTTCTATG-3’ </t>
  </si>
  <si>
    <t>Image</t>
  </si>
  <si>
    <t>PlzF Cre</t>
  </si>
  <si>
    <t>LacZ</t>
  </si>
  <si>
    <t>USP1 Gen</t>
  </si>
  <si>
    <t>LacZ R1-</t>
  </si>
  <si>
    <t>TCF4 WT</t>
  </si>
  <si>
    <t>TCF4 Mut</t>
  </si>
  <si>
    <t>3. Incubate at 60°C for 0:30</t>
  </si>
  <si>
    <t>TCF4 WT F-CCGATGACAGTGATGATGGT</t>
  </si>
  <si>
    <t>TCF4 WT R-AAGTTAAGCTGAAGTAAATACCCACA</t>
  </si>
  <si>
    <t>TCF4 MUT F-CCGATGACAGTGATGATGGT</t>
  </si>
  <si>
    <t>TCF4 Mut R-TCGTGGTATCGTTATGCGCC</t>
  </si>
  <si>
    <t>10x NEB buffer</t>
  </si>
  <si>
    <t>NEB Taq</t>
  </si>
  <si>
    <t>FOR LACZ PCR NEED TO USE NEB TAQ AS OUR LAB STOCK IS CONTAMINATED WITH LACZ AND ALL PCRS WILL BE POSITIVE</t>
  </si>
  <si>
    <t>172bp</t>
  </si>
  <si>
    <t>371bp</t>
  </si>
  <si>
    <t>Tm1c</t>
  </si>
  <si>
    <t>FRT</t>
  </si>
  <si>
    <t>204bp</t>
  </si>
  <si>
    <t>218bp</t>
  </si>
  <si>
    <t>Tm1c_F-AAGGCGCATAACGATACCAC</t>
  </si>
  <si>
    <t>Tm1c_R-CCGCCTACTGCGACTATAGAGA</t>
  </si>
  <si>
    <t>5FRT_F-AGGCGCATAACGATACCACGAT</t>
  </si>
  <si>
    <t>5FRT_R-CCACAACGGGTTCTTCTGTT</t>
  </si>
  <si>
    <t>E2-2 GEN</t>
  </si>
  <si>
    <t>LacZ F2-GAGTTGCGTGACTACCTACGG</t>
  </si>
  <si>
    <t>USP1 1</t>
  </si>
  <si>
    <t>common-LoxPF</t>
  </si>
  <si>
    <t>USP1 intron3-4RA</t>
  </si>
  <si>
    <t>161bp</t>
  </si>
  <si>
    <t>USP1 2</t>
  </si>
  <si>
    <t>USP1 3</t>
  </si>
  <si>
    <t>USP1intron2-3FA</t>
  </si>
  <si>
    <t>commonen2R</t>
  </si>
  <si>
    <t>USP1intron3-4RA</t>
  </si>
  <si>
    <t>944bp</t>
  </si>
  <si>
    <t>common3'F</t>
  </si>
  <si>
    <t>USP1 4</t>
  </si>
  <si>
    <t>USP1 intron2-3FA</t>
  </si>
  <si>
    <t>858bp</t>
  </si>
  <si>
    <t>4. Incubate at 72°C for 0:40</t>
  </si>
  <si>
    <t>5. Cycle to step 2, 10 times (decrease 1°C/cycle)</t>
  </si>
  <si>
    <t>6. Incubate at 94°C for 0:15</t>
  </si>
  <si>
    <t>7. Incubate at 55°C for 0:30</t>
  </si>
  <si>
    <t>8. Incubate at 72°C for 0:40</t>
  </si>
  <si>
    <t xml:space="preserve">9. Cycle to step 6, 30 times </t>
  </si>
  <si>
    <t>10. Incubate at 72°C for 5:00</t>
  </si>
  <si>
    <t>ER cre</t>
    <phoneticPr fontId="6" type="noConversion"/>
  </si>
  <si>
    <t>4. Incubate at 72°C for 0:20</t>
  </si>
  <si>
    <t>6. Incubate at 72°C for 7:00</t>
  </si>
  <si>
    <t>Dlck Cre</t>
  </si>
  <si>
    <t>300bp</t>
  </si>
  <si>
    <t>Dlck cre F- atggtgcccaagaagaagag</t>
  </si>
  <si>
    <t>Dlck cre R- caggtgctgttggatggtct</t>
  </si>
  <si>
    <t>Cre rep</t>
  </si>
  <si>
    <t>2. Incubate at 94°C for 0:20</t>
  </si>
  <si>
    <t>3. Incubate at 62°C for 0:30</t>
  </si>
  <si>
    <t>6. Incubate at 72°C for 2:00</t>
  </si>
  <si>
    <t>WT- 200bp</t>
  </si>
  <si>
    <t>KO- 800bp</t>
  </si>
  <si>
    <t>Heb KO</t>
  </si>
  <si>
    <t>NKT</t>
  </si>
  <si>
    <t>3. Incubate at 56°C for 0:30</t>
  </si>
  <si>
    <t>Va14 geno F (iNKT)- CTAAGCACAGCACGCTGCACA</t>
  </si>
  <si>
    <t>Va14 geno R (iNKT)- CAGGTATGACAATCAGCTGAGTCC</t>
  </si>
  <si>
    <t>135bp</t>
  </si>
  <si>
    <t>WT~500bp</t>
  </si>
  <si>
    <t>Flox~600bp</t>
  </si>
  <si>
    <t>Het- 297 and 199bp</t>
  </si>
  <si>
    <t>Lid Control Mode: Constant at 100C</t>
  </si>
  <si>
    <t>Incubate at 94C for 2:00</t>
  </si>
  <si>
    <t>Incubate at 94C for :30</t>
  </si>
  <si>
    <t>Incubate at 58C for :45</t>
  </si>
  <si>
    <t>Incubate at 72C for :45</t>
  </si>
  <si>
    <t>Cycle to step 2 for 35 more times</t>
  </si>
  <si>
    <t>Incubate at 72 for 2:00</t>
  </si>
  <si>
    <t>ER-cre</t>
  </si>
  <si>
    <t>ER cre</t>
  </si>
  <si>
    <t>c</t>
  </si>
  <si>
    <t>ER1 - CAC ACC AGG TTA GCC TTT AAG CC</t>
  </si>
  <si>
    <t>ER2 - AAA GTC GCT CTG AGT TGT TAT</t>
  </si>
  <si>
    <t>ER3 CCT GAA CAT GTC CAT CAG CTT</t>
  </si>
  <si>
    <t>5. Cycle to step 2, 30 times</t>
  </si>
  <si>
    <t xml:space="preserve">7. Incubate at 4°C </t>
  </si>
  <si>
    <t>WT</t>
  </si>
  <si>
    <t>Id2/3_Geno_WT_F_2 - CCT TTT ATC CTC TTT CTC CCC AGG</t>
  </si>
  <si>
    <t>id2/3_Geno_R_2 - TAA GGC TCG GGG TAG CC</t>
  </si>
  <si>
    <t>~620BP</t>
  </si>
  <si>
    <t>KI</t>
  </si>
  <si>
    <t>Id2KI_CRE_F_3 - ACT TTA TAC GAA GTT ATA TGT GAA ATC GCT</t>
  </si>
  <si>
    <t>Id2KI_CRE_R_3- TAA GGC TCG GGG TAG CC</t>
  </si>
  <si>
    <t>~490BP</t>
  </si>
  <si>
    <t>3. Incubate at 52°C for 0:30</t>
  </si>
  <si>
    <t>5. Cycle to step 2, 38 times</t>
  </si>
  <si>
    <t xml:space="preserve">7. Incubate at 12°C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</si>
</sst>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 applyAlignment="1"/>
    <xf numFmtId="0" fontId="3" fillId="0" borderId="0" xfId="0" applyFont="1"/>
    <xf numFmtId="0" fontId="7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I2" sqref="I2:J3"/>
    </sheetView>
  </sheetViews>
  <sheetFormatPr baseColWidth="10" defaultColWidth="8.83203125" defaultRowHeight="15" x14ac:dyDescent="0.2"/>
  <cols>
    <col min="8" max="8" width="25" customWidth="1"/>
    <col min="9" max="9" width="34.33203125" customWidth="1"/>
    <col min="10" max="10" width="13.5" customWidth="1"/>
  </cols>
  <sheetData>
    <row r="1" spans="1:10" ht="16" x14ac:dyDescent="0.2">
      <c r="A1" t="s">
        <v>17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</row>
    <row r="2" spans="1:10" ht="16" x14ac:dyDescent="0.2">
      <c r="B2" t="s">
        <v>9</v>
      </c>
      <c r="C2">
        <v>35</v>
      </c>
      <c r="F2" t="s">
        <v>43</v>
      </c>
      <c r="G2" t="s">
        <v>73</v>
      </c>
      <c r="H2" s="1" t="s">
        <v>53</v>
      </c>
      <c r="I2" s="1" t="s">
        <v>78</v>
      </c>
      <c r="J2" s="1" t="s">
        <v>80</v>
      </c>
    </row>
    <row r="3" spans="1:10" x14ac:dyDescent="0.2">
      <c r="A3" t="s">
        <v>0</v>
      </c>
      <c r="B3">
        <v>5</v>
      </c>
      <c r="C3">
        <f>B3*C2</f>
        <v>175</v>
      </c>
      <c r="H3" t="s">
        <v>74</v>
      </c>
      <c r="I3" t="s">
        <v>79</v>
      </c>
      <c r="J3" t="s">
        <v>81</v>
      </c>
    </row>
    <row r="4" spans="1:10" x14ac:dyDescent="0.2">
      <c r="A4" t="s">
        <v>1</v>
      </c>
      <c r="B4">
        <v>2</v>
      </c>
      <c r="C4">
        <f>B4*C2</f>
        <v>70</v>
      </c>
      <c r="H4" t="s">
        <v>75</v>
      </c>
    </row>
    <row r="5" spans="1:10" x14ac:dyDescent="0.2">
      <c r="A5" t="s">
        <v>2</v>
      </c>
      <c r="B5">
        <v>0.5</v>
      </c>
      <c r="C5">
        <f>B5*C2</f>
        <v>17.5</v>
      </c>
      <c r="H5" t="s">
        <v>76</v>
      </c>
    </row>
    <row r="6" spans="1:10" x14ac:dyDescent="0.2">
      <c r="A6" t="s">
        <v>3</v>
      </c>
      <c r="B6">
        <v>2</v>
      </c>
      <c r="C6">
        <f>B6*C2</f>
        <v>70</v>
      </c>
      <c r="H6" t="s">
        <v>77</v>
      </c>
    </row>
    <row r="7" spans="1:10" x14ac:dyDescent="0.2">
      <c r="A7" t="s">
        <v>4</v>
      </c>
      <c r="B7">
        <v>2</v>
      </c>
      <c r="C7">
        <f>B7*C2</f>
        <v>70</v>
      </c>
      <c r="H7" t="s">
        <v>56</v>
      </c>
    </row>
    <row r="8" spans="1:10" x14ac:dyDescent="0.2">
      <c r="A8" t="s">
        <v>5</v>
      </c>
      <c r="B8">
        <v>2</v>
      </c>
      <c r="C8">
        <f>B8*C2</f>
        <v>70</v>
      </c>
    </row>
    <row r="9" spans="1:10" x14ac:dyDescent="0.2">
      <c r="A9" t="s">
        <v>6</v>
      </c>
      <c r="B9">
        <v>0.5</v>
      </c>
      <c r="C9">
        <f>B9*C2</f>
        <v>17.5</v>
      </c>
    </row>
    <row r="10" spans="1:10" x14ac:dyDescent="0.2">
      <c r="A10" t="s">
        <v>7</v>
      </c>
      <c r="B10">
        <v>9</v>
      </c>
      <c r="C10">
        <f>B10*C2</f>
        <v>315</v>
      </c>
    </row>
    <row r="11" spans="1:10" x14ac:dyDescent="0.2">
      <c r="A11" t="s">
        <v>8</v>
      </c>
      <c r="B11">
        <v>2</v>
      </c>
      <c r="C11">
        <f>B11*C2</f>
        <v>70</v>
      </c>
    </row>
    <row r="12" spans="1:10" x14ac:dyDescent="0.2">
      <c r="A12" t="s">
        <v>10</v>
      </c>
      <c r="B12">
        <f>SUM(B3:B11)</f>
        <v>25</v>
      </c>
      <c r="C12">
        <f>SUM(C3:C11)</f>
        <v>875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L32" sqref="L32"/>
    </sheetView>
  </sheetViews>
  <sheetFormatPr baseColWidth="10" defaultColWidth="8.83203125" defaultRowHeight="15" x14ac:dyDescent="0.2"/>
  <cols>
    <col min="8" max="8" width="25" customWidth="1"/>
    <col min="9" max="9" width="34.33203125" customWidth="1"/>
    <col min="10" max="10" width="13.5" customWidth="1"/>
  </cols>
  <sheetData>
    <row r="1" spans="1:10" ht="16" x14ac:dyDescent="0.2">
      <c r="A1" t="s">
        <v>17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</row>
    <row r="2" spans="1:10" ht="16" x14ac:dyDescent="0.2">
      <c r="B2" t="s">
        <v>9</v>
      </c>
      <c r="C2">
        <v>35</v>
      </c>
      <c r="F2" t="s">
        <v>43</v>
      </c>
      <c r="G2" t="s">
        <v>70</v>
      </c>
      <c r="H2" s="1" t="s">
        <v>53</v>
      </c>
      <c r="I2" s="1" t="s">
        <v>78</v>
      </c>
      <c r="J2" s="1" t="s">
        <v>80</v>
      </c>
    </row>
    <row r="3" spans="1:10" x14ac:dyDescent="0.2">
      <c r="A3" t="s">
        <v>0</v>
      </c>
      <c r="B3">
        <v>5</v>
      </c>
      <c r="C3">
        <f>B3*C2</f>
        <v>175</v>
      </c>
      <c r="H3" t="s">
        <v>74</v>
      </c>
      <c r="I3" t="s">
        <v>79</v>
      </c>
      <c r="J3" t="s">
        <v>81</v>
      </c>
    </row>
    <row r="4" spans="1:10" x14ac:dyDescent="0.2">
      <c r="A4" t="s">
        <v>1</v>
      </c>
      <c r="B4">
        <v>2</v>
      </c>
      <c r="C4">
        <f>B4*C2</f>
        <v>70</v>
      </c>
      <c r="H4" t="s">
        <v>71</v>
      </c>
    </row>
    <row r="5" spans="1:10" x14ac:dyDescent="0.2">
      <c r="A5" t="s">
        <v>2</v>
      </c>
      <c r="B5">
        <v>0.5</v>
      </c>
      <c r="C5">
        <f>B5*C2</f>
        <v>17.5</v>
      </c>
      <c r="H5" t="s">
        <v>76</v>
      </c>
    </row>
    <row r="6" spans="1:10" x14ac:dyDescent="0.2">
      <c r="A6" t="s">
        <v>4</v>
      </c>
      <c r="B6">
        <v>0.5</v>
      </c>
      <c r="C6">
        <f>B6*C2</f>
        <v>17.5</v>
      </c>
      <c r="H6" t="s">
        <v>77</v>
      </c>
    </row>
    <row r="7" spans="1:10" x14ac:dyDescent="0.2">
      <c r="A7" t="s">
        <v>5</v>
      </c>
      <c r="B7">
        <v>0.5</v>
      </c>
      <c r="C7">
        <f>B7*C2</f>
        <v>17.5</v>
      </c>
      <c r="H7" t="s">
        <v>56</v>
      </c>
    </row>
    <row r="8" spans="1:10" x14ac:dyDescent="0.2">
      <c r="A8" t="s">
        <v>6</v>
      </c>
      <c r="B8">
        <v>0.5</v>
      </c>
      <c r="C8">
        <f>B8*C2</f>
        <v>17.5</v>
      </c>
    </row>
    <row r="9" spans="1:10" x14ac:dyDescent="0.2">
      <c r="A9" t="s">
        <v>7</v>
      </c>
      <c r="B9">
        <v>15</v>
      </c>
      <c r="C9">
        <f>B9*C2</f>
        <v>525</v>
      </c>
    </row>
    <row r="10" spans="1:10" x14ac:dyDescent="0.2">
      <c r="A10" t="s">
        <v>8</v>
      </c>
      <c r="B10">
        <v>1</v>
      </c>
      <c r="C10">
        <f>B10*C2</f>
        <v>35</v>
      </c>
    </row>
    <row r="11" spans="1:10" x14ac:dyDescent="0.2">
      <c r="A11" t="s">
        <v>10</v>
      </c>
      <c r="B11">
        <f>SUM(B3:B10)</f>
        <v>25</v>
      </c>
      <c r="C11">
        <f>SUM(C3:C10)</f>
        <v>875</v>
      </c>
    </row>
  </sheetData>
  <phoneticPr fontId="6" type="noConversion"/>
  <pageMargins left="0.7" right="0.7" top="0.75" bottom="0.75" header="0.3" footer="0.3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view="pageLayout" workbookViewId="0">
      <selection activeCell="D28" sqref="D28"/>
    </sheetView>
  </sheetViews>
  <sheetFormatPr baseColWidth="10" defaultRowHeight="15" x14ac:dyDescent="0.2"/>
  <sheetData>
    <row r="1" spans="1:3" x14ac:dyDescent="0.2">
      <c r="A1" t="s">
        <v>17</v>
      </c>
    </row>
    <row r="2" spans="1:3" x14ac:dyDescent="0.2">
      <c r="B2" t="s">
        <v>9</v>
      </c>
      <c r="C2">
        <v>35</v>
      </c>
    </row>
    <row r="3" spans="1:3" x14ac:dyDescent="0.2">
      <c r="A3" t="s">
        <v>0</v>
      </c>
      <c r="B3">
        <v>5</v>
      </c>
      <c r="C3">
        <f>B3*C2</f>
        <v>175</v>
      </c>
    </row>
    <row r="4" spans="1:3" x14ac:dyDescent="0.2">
      <c r="A4" t="s">
        <v>1</v>
      </c>
      <c r="B4">
        <v>2</v>
      </c>
      <c r="C4">
        <f>B4*C2</f>
        <v>70</v>
      </c>
    </row>
    <row r="5" spans="1:3" x14ac:dyDescent="0.2">
      <c r="A5" t="s">
        <v>2</v>
      </c>
      <c r="B5">
        <v>0.5</v>
      </c>
      <c r="C5">
        <f>B5*C2</f>
        <v>17.5</v>
      </c>
    </row>
    <row r="6" spans="1:3" x14ac:dyDescent="0.2">
      <c r="A6" t="s">
        <v>3</v>
      </c>
      <c r="B6">
        <v>2</v>
      </c>
      <c r="C6">
        <f>B6*C2</f>
        <v>70</v>
      </c>
    </row>
    <row r="7" spans="1:3" x14ac:dyDescent="0.2">
      <c r="A7" t="s">
        <v>4</v>
      </c>
      <c r="B7">
        <v>1</v>
      </c>
      <c r="C7">
        <f>B7*C2</f>
        <v>35</v>
      </c>
    </row>
    <row r="8" spans="1:3" x14ac:dyDescent="0.2">
      <c r="A8" t="s">
        <v>5</v>
      </c>
      <c r="B8">
        <v>1</v>
      </c>
      <c r="C8">
        <f>B8*C2</f>
        <v>35</v>
      </c>
    </row>
    <row r="9" spans="1:3" x14ac:dyDescent="0.2">
      <c r="A9" t="s">
        <v>6</v>
      </c>
      <c r="B9">
        <v>0.5</v>
      </c>
      <c r="C9">
        <f>B9*C2</f>
        <v>17.5</v>
      </c>
    </row>
    <row r="10" spans="1:3" x14ac:dyDescent="0.2">
      <c r="A10" t="s">
        <v>7</v>
      </c>
      <c r="B10">
        <v>11</v>
      </c>
      <c r="C10">
        <f>B10*C2</f>
        <v>385</v>
      </c>
    </row>
    <row r="11" spans="1:3" x14ac:dyDescent="0.2">
      <c r="A11" t="s">
        <v>8</v>
      </c>
      <c r="B11">
        <v>2</v>
      </c>
      <c r="C11">
        <f>B11*C2</f>
        <v>70</v>
      </c>
    </row>
    <row r="12" spans="1:3" x14ac:dyDescent="0.2">
      <c r="A12" t="s">
        <v>10</v>
      </c>
      <c r="B12">
        <f>SUM(B3:B11)</f>
        <v>25</v>
      </c>
      <c r="C12">
        <f>SUM(C3:C11)</f>
        <v>875</v>
      </c>
    </row>
  </sheetData>
  <phoneticPr fontId="6" type="noConversion"/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J3" sqref="J3"/>
    </sheetView>
  </sheetViews>
  <sheetFormatPr baseColWidth="10" defaultColWidth="8.83203125" defaultRowHeight="15" x14ac:dyDescent="0.2"/>
  <cols>
    <col min="3" max="3" width="8.83203125" customWidth="1"/>
    <col min="7" max="7" width="13.1640625" customWidth="1"/>
    <col min="8" max="8" width="25.33203125" customWidth="1"/>
    <col min="9" max="9" width="30.33203125" customWidth="1"/>
    <col min="10" max="10" width="40.33203125" customWidth="1"/>
  </cols>
  <sheetData>
    <row r="1" spans="1:11" x14ac:dyDescent="0.2">
      <c r="A1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</row>
    <row r="2" spans="1:11" ht="16" x14ac:dyDescent="0.2">
      <c r="B2" t="s">
        <v>9</v>
      </c>
      <c r="C2">
        <v>15</v>
      </c>
      <c r="G2" s="12" t="s">
        <v>43</v>
      </c>
      <c r="H2" s="12" t="s">
        <v>34</v>
      </c>
      <c r="I2" s="3" t="s">
        <v>35</v>
      </c>
      <c r="J2" s="3" t="s">
        <v>41</v>
      </c>
      <c r="K2" s="11" t="s">
        <v>210</v>
      </c>
    </row>
    <row r="3" spans="1:11" ht="16" x14ac:dyDescent="0.2">
      <c r="A3" t="s">
        <v>0</v>
      </c>
      <c r="B3">
        <v>5</v>
      </c>
      <c r="C3">
        <f>B3*C2</f>
        <v>75</v>
      </c>
      <c r="G3" s="12"/>
      <c r="H3" s="12"/>
      <c r="I3" s="3" t="s">
        <v>36</v>
      </c>
      <c r="J3" s="3" t="s">
        <v>42</v>
      </c>
      <c r="K3" s="11" t="s">
        <v>211</v>
      </c>
    </row>
    <row r="4" spans="1:11" ht="16" x14ac:dyDescent="0.2">
      <c r="A4" t="s">
        <v>1</v>
      </c>
      <c r="B4">
        <v>2.5</v>
      </c>
      <c r="C4">
        <f>B4*C2</f>
        <v>37.5</v>
      </c>
      <c r="G4" s="12"/>
      <c r="H4" s="12"/>
      <c r="I4" s="3" t="s">
        <v>37</v>
      </c>
      <c r="J4" s="3"/>
      <c r="K4" s="11"/>
    </row>
    <row r="5" spans="1:11" ht="16" x14ac:dyDescent="0.2">
      <c r="A5" t="s">
        <v>2</v>
      </c>
      <c r="B5">
        <v>0.5</v>
      </c>
      <c r="C5">
        <f>B5*C2</f>
        <v>7.5</v>
      </c>
      <c r="G5" s="12"/>
      <c r="H5" s="12"/>
      <c r="I5" s="3" t="s">
        <v>38</v>
      </c>
      <c r="J5" s="3"/>
      <c r="K5" s="11"/>
    </row>
    <row r="6" spans="1:11" ht="16" x14ac:dyDescent="0.2">
      <c r="A6" t="s">
        <v>4</v>
      </c>
      <c r="B6">
        <v>1.25</v>
      </c>
      <c r="C6">
        <f>B6*C2</f>
        <v>18.75</v>
      </c>
      <c r="G6" s="12"/>
      <c r="H6" s="12"/>
      <c r="I6" s="3" t="s">
        <v>39</v>
      </c>
      <c r="J6" s="3"/>
      <c r="K6" s="11"/>
    </row>
    <row r="7" spans="1:11" ht="16" x14ac:dyDescent="0.2">
      <c r="A7" t="s">
        <v>5</v>
      </c>
      <c r="B7">
        <v>1.25</v>
      </c>
      <c r="C7">
        <f>B7*C2</f>
        <v>18.75</v>
      </c>
      <c r="G7" s="12"/>
      <c r="H7" s="12"/>
      <c r="I7" s="3" t="s">
        <v>40</v>
      </c>
      <c r="J7" s="3"/>
      <c r="K7" s="11"/>
    </row>
    <row r="8" spans="1:11" x14ac:dyDescent="0.2">
      <c r="A8" t="s">
        <v>6</v>
      </c>
      <c r="B8">
        <v>0.2</v>
      </c>
      <c r="C8">
        <f>B8*C2</f>
        <v>3</v>
      </c>
    </row>
    <row r="9" spans="1:11" x14ac:dyDescent="0.2">
      <c r="A9" t="s">
        <v>7</v>
      </c>
      <c r="B9">
        <v>13.3</v>
      </c>
      <c r="C9">
        <f>B9*C2</f>
        <v>199.5</v>
      </c>
    </row>
    <row r="10" spans="1:11" x14ac:dyDescent="0.2">
      <c r="A10" t="s">
        <v>8</v>
      </c>
      <c r="B10">
        <v>1</v>
      </c>
      <c r="C10">
        <f>B10*C2</f>
        <v>15</v>
      </c>
    </row>
    <row r="11" spans="1:11" x14ac:dyDescent="0.2">
      <c r="A11" t="s">
        <v>10</v>
      </c>
      <c r="B11">
        <f>SUM(B3:B10)</f>
        <v>25</v>
      </c>
      <c r="C11">
        <f>SUM(C3:C10)</f>
        <v>375</v>
      </c>
    </row>
    <row r="17" spans="4:4" x14ac:dyDescent="0.2">
      <c r="D17" s="1"/>
    </row>
  </sheetData>
  <mergeCells count="2">
    <mergeCell ref="G2:G7"/>
    <mergeCell ref="H2:H7"/>
  </mergeCells>
  <phoneticPr fontId="6" type="noConversion"/>
  <pageMargins left="0.7" right="0.7" top="0.75" bottom="0.75" header="0.3" footer="0.3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workbookViewId="0">
      <selection activeCell="I1" sqref="I1:K7"/>
    </sheetView>
  </sheetViews>
  <sheetFormatPr baseColWidth="10" defaultColWidth="8.83203125" defaultRowHeight="15" x14ac:dyDescent="0.2"/>
  <cols>
    <col min="3" max="3" width="8.83203125" customWidth="1"/>
    <col min="7" max="7" width="13.1640625" customWidth="1"/>
    <col min="8" max="8" width="25.33203125" customWidth="1"/>
    <col min="9" max="9" width="30.33203125" customWidth="1"/>
    <col min="10" max="10" width="40.33203125" customWidth="1"/>
  </cols>
  <sheetData>
    <row r="1" spans="1:11" x14ac:dyDescent="0.2">
      <c r="A1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</row>
    <row r="2" spans="1:11" ht="16" x14ac:dyDescent="0.2">
      <c r="B2" t="s">
        <v>9</v>
      </c>
      <c r="C2">
        <v>10</v>
      </c>
      <c r="G2" s="12" t="s">
        <v>43</v>
      </c>
      <c r="H2" s="12" t="s">
        <v>34</v>
      </c>
      <c r="I2" s="3" t="s">
        <v>35</v>
      </c>
      <c r="J2" s="3" t="s">
        <v>41</v>
      </c>
      <c r="K2" s="11" t="s">
        <v>210</v>
      </c>
    </row>
    <row r="3" spans="1:11" ht="16" x14ac:dyDescent="0.2">
      <c r="A3" t="s">
        <v>0</v>
      </c>
      <c r="B3">
        <v>5</v>
      </c>
      <c r="C3">
        <f>B3*C2</f>
        <v>50</v>
      </c>
      <c r="G3" s="12"/>
      <c r="H3" s="12"/>
      <c r="I3" s="3" t="s">
        <v>36</v>
      </c>
      <c r="J3" s="3" t="s">
        <v>42</v>
      </c>
      <c r="K3" s="11" t="s">
        <v>211</v>
      </c>
    </row>
    <row r="4" spans="1:11" ht="16" x14ac:dyDescent="0.2">
      <c r="A4" t="s">
        <v>1</v>
      </c>
      <c r="B4">
        <v>2.5</v>
      </c>
      <c r="C4">
        <f>B4*C2</f>
        <v>25</v>
      </c>
      <c r="G4" s="12"/>
      <c r="H4" s="12"/>
      <c r="I4" s="3" t="s">
        <v>37</v>
      </c>
      <c r="J4" s="3"/>
      <c r="K4" s="11"/>
    </row>
    <row r="5" spans="1:11" ht="16" x14ac:dyDescent="0.2">
      <c r="A5" t="s">
        <v>2</v>
      </c>
      <c r="B5">
        <v>0.5</v>
      </c>
      <c r="C5">
        <f>B5*C2</f>
        <v>5</v>
      </c>
      <c r="G5" s="12"/>
      <c r="H5" s="12"/>
      <c r="I5" s="3" t="s">
        <v>38</v>
      </c>
      <c r="J5" s="3"/>
      <c r="K5" s="11"/>
    </row>
    <row r="6" spans="1:11" ht="16" x14ac:dyDescent="0.2">
      <c r="A6" t="s">
        <v>3</v>
      </c>
      <c r="B6">
        <v>2.5</v>
      </c>
      <c r="C6">
        <f>B6*C2</f>
        <v>25</v>
      </c>
      <c r="G6" s="12"/>
      <c r="H6" s="12"/>
      <c r="I6" s="3" t="s">
        <v>39</v>
      </c>
      <c r="J6" s="3"/>
      <c r="K6" s="11"/>
    </row>
    <row r="7" spans="1:11" ht="16" x14ac:dyDescent="0.2">
      <c r="A7" t="s">
        <v>4</v>
      </c>
      <c r="B7">
        <v>1.7</v>
      </c>
      <c r="C7">
        <f>B7*C2</f>
        <v>17</v>
      </c>
      <c r="G7" s="12"/>
      <c r="H7" s="12"/>
      <c r="I7" s="3" t="s">
        <v>40</v>
      </c>
      <c r="J7" s="3"/>
      <c r="K7" s="11"/>
    </row>
    <row r="8" spans="1:11" x14ac:dyDescent="0.2">
      <c r="A8" t="s">
        <v>5</v>
      </c>
      <c r="B8">
        <v>1.7</v>
      </c>
      <c r="C8">
        <f>B8*C2</f>
        <v>17</v>
      </c>
    </row>
    <row r="9" spans="1:11" x14ac:dyDescent="0.2">
      <c r="A9" t="s">
        <v>6</v>
      </c>
      <c r="B9">
        <v>0.2</v>
      </c>
      <c r="C9">
        <f>B9*C2</f>
        <v>2</v>
      </c>
    </row>
    <row r="10" spans="1:11" x14ac:dyDescent="0.2">
      <c r="A10" t="s">
        <v>7</v>
      </c>
      <c r="B10">
        <v>8.9</v>
      </c>
      <c r="C10">
        <f>B10*C2</f>
        <v>89</v>
      </c>
    </row>
    <row r="11" spans="1:11" x14ac:dyDescent="0.2">
      <c r="A11" t="s">
        <v>8</v>
      </c>
      <c r="B11">
        <v>2</v>
      </c>
      <c r="C11">
        <f>B11*C2</f>
        <v>20</v>
      </c>
    </row>
    <row r="12" spans="1:11" x14ac:dyDescent="0.2">
      <c r="A12" t="s">
        <v>10</v>
      </c>
      <c r="B12">
        <f>SUM(B3:B11)</f>
        <v>25</v>
      </c>
      <c r="C12">
        <f>SUM(C3:C11)</f>
        <v>250</v>
      </c>
    </row>
    <row r="17" spans="3:4" x14ac:dyDescent="0.2">
      <c r="C17" s="1"/>
      <c r="D17" s="1"/>
    </row>
  </sheetData>
  <mergeCells count="2">
    <mergeCell ref="G2:G7"/>
    <mergeCell ref="H2:H7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>
      <selection activeCell="K10" sqref="K10"/>
    </sheetView>
  </sheetViews>
  <sheetFormatPr baseColWidth="10" defaultColWidth="8.83203125" defaultRowHeight="15" x14ac:dyDescent="0.2"/>
  <cols>
    <col min="1" max="1" width="13.5" customWidth="1"/>
    <col min="10" max="10" width="31.83203125" customWidth="1"/>
    <col min="11" max="11" width="20.6640625" customWidth="1"/>
    <col min="12" max="12" width="12.6640625" customWidth="1"/>
  </cols>
  <sheetData>
    <row r="1" spans="1:12" x14ac:dyDescent="0.2">
      <c r="A1" t="s">
        <v>51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7" customHeight="1" x14ac:dyDescent="0.2">
      <c r="B2" s="8" t="s">
        <v>9</v>
      </c>
      <c r="C2">
        <v>20</v>
      </c>
      <c r="E2" s="7"/>
      <c r="H2" s="5" t="s">
        <v>43</v>
      </c>
      <c r="I2" s="5" t="s">
        <v>44</v>
      </c>
      <c r="J2" s="6" t="s">
        <v>46</v>
      </c>
      <c r="K2" s="1" t="s">
        <v>64</v>
      </c>
    </row>
    <row r="3" spans="1:12" x14ac:dyDescent="0.2">
      <c r="A3" t="s">
        <v>0</v>
      </c>
      <c r="B3">
        <v>5</v>
      </c>
      <c r="C3">
        <f>B3*C2</f>
        <v>100</v>
      </c>
      <c r="J3" t="s">
        <v>47</v>
      </c>
      <c r="K3" t="s">
        <v>65</v>
      </c>
    </row>
    <row r="4" spans="1:12" x14ac:dyDescent="0.2">
      <c r="A4" t="s">
        <v>1</v>
      </c>
      <c r="B4">
        <v>2.5</v>
      </c>
      <c r="C4">
        <f>B4*C2</f>
        <v>50</v>
      </c>
      <c r="J4" t="s">
        <v>48</v>
      </c>
    </row>
    <row r="5" spans="1:12" x14ac:dyDescent="0.2">
      <c r="A5" t="s">
        <v>2</v>
      </c>
      <c r="B5">
        <v>0.5</v>
      </c>
      <c r="C5">
        <f>B5*C2</f>
        <v>10</v>
      </c>
      <c r="J5" t="s">
        <v>49</v>
      </c>
    </row>
    <row r="6" spans="1:12" x14ac:dyDescent="0.2">
      <c r="A6" t="s">
        <v>4</v>
      </c>
      <c r="B6">
        <v>1.25</v>
      </c>
      <c r="C6">
        <f>B6*C2</f>
        <v>25</v>
      </c>
      <c r="J6" t="s">
        <v>50</v>
      </c>
    </row>
    <row r="7" spans="1:12" x14ac:dyDescent="0.2">
      <c r="A7" t="s">
        <v>5</v>
      </c>
      <c r="B7">
        <v>1.25</v>
      </c>
      <c r="C7">
        <f>B7*C2</f>
        <v>25</v>
      </c>
      <c r="J7" t="s">
        <v>40</v>
      </c>
    </row>
    <row r="8" spans="1:12" x14ac:dyDescent="0.2">
      <c r="A8" t="s">
        <v>6</v>
      </c>
      <c r="B8">
        <v>0.2</v>
      </c>
      <c r="C8">
        <f>B8*C2</f>
        <v>4</v>
      </c>
    </row>
    <row r="9" spans="1:12" x14ac:dyDescent="0.2">
      <c r="A9" t="s">
        <v>7</v>
      </c>
      <c r="B9">
        <v>13.25</v>
      </c>
      <c r="C9">
        <f>B9*C2</f>
        <v>265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v>25</v>
      </c>
      <c r="C11">
        <f>B11*C2</f>
        <v>500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"/>
  <sheetViews>
    <sheetView workbookViewId="0">
      <selection activeCell="K4" sqref="K4"/>
    </sheetView>
  </sheetViews>
  <sheetFormatPr baseColWidth="10" defaultColWidth="8.83203125" defaultRowHeight="15" x14ac:dyDescent="0.2"/>
  <cols>
    <col min="1" max="1" width="13.5" customWidth="1"/>
    <col min="10" max="10" width="29.33203125" customWidth="1"/>
    <col min="11" max="11" width="29.5" customWidth="1"/>
    <col min="12" max="12" width="12.6640625" customWidth="1"/>
  </cols>
  <sheetData>
    <row r="1" spans="1:12" x14ac:dyDescent="0.2">
      <c r="A1" t="s">
        <v>52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7" customHeight="1" x14ac:dyDescent="0.2">
      <c r="B2" s="8" t="s">
        <v>9</v>
      </c>
      <c r="C2">
        <v>20</v>
      </c>
      <c r="E2" s="7"/>
      <c r="H2" s="5" t="s">
        <v>43</v>
      </c>
      <c r="I2" s="5" t="s">
        <v>52</v>
      </c>
      <c r="J2" s="1" t="s">
        <v>53</v>
      </c>
      <c r="K2" s="1" t="s">
        <v>63</v>
      </c>
    </row>
    <row r="3" spans="1:12" x14ac:dyDescent="0.2">
      <c r="A3" t="s">
        <v>0</v>
      </c>
      <c r="B3">
        <v>5</v>
      </c>
      <c r="C3">
        <f>B3*C2</f>
        <v>100</v>
      </c>
      <c r="J3" t="s">
        <v>36</v>
      </c>
      <c r="K3" t="s">
        <v>62</v>
      </c>
    </row>
    <row r="4" spans="1:12" x14ac:dyDescent="0.2">
      <c r="A4" t="s">
        <v>1</v>
      </c>
      <c r="B4">
        <v>2.5</v>
      </c>
      <c r="C4">
        <f>B4*C2</f>
        <v>50</v>
      </c>
      <c r="J4" t="s">
        <v>54</v>
      </c>
    </row>
    <row r="5" spans="1:12" x14ac:dyDescent="0.2">
      <c r="A5" t="s">
        <v>2</v>
      </c>
      <c r="B5">
        <v>0.5</v>
      </c>
      <c r="C5">
        <f>B5*C2</f>
        <v>10</v>
      </c>
      <c r="J5" t="s">
        <v>55</v>
      </c>
    </row>
    <row r="6" spans="1:12" x14ac:dyDescent="0.2">
      <c r="A6" t="s">
        <v>4</v>
      </c>
      <c r="B6">
        <v>1.25</v>
      </c>
      <c r="C6">
        <f>B6*C2</f>
        <v>25</v>
      </c>
      <c r="J6" t="s">
        <v>39</v>
      </c>
    </row>
    <row r="7" spans="1:12" x14ac:dyDescent="0.2">
      <c r="A7" t="s">
        <v>5</v>
      </c>
      <c r="B7">
        <v>1.25</v>
      </c>
      <c r="C7">
        <f>B7*C2</f>
        <v>25</v>
      </c>
      <c r="J7" t="s">
        <v>56</v>
      </c>
    </row>
    <row r="8" spans="1:12" x14ac:dyDescent="0.2">
      <c r="A8" t="s">
        <v>6</v>
      </c>
      <c r="B8">
        <v>0.2</v>
      </c>
      <c r="C8">
        <f>B8*C2</f>
        <v>4</v>
      </c>
    </row>
    <row r="9" spans="1:12" x14ac:dyDescent="0.2">
      <c r="A9" t="s">
        <v>7</v>
      </c>
      <c r="B9">
        <v>13.25</v>
      </c>
      <c r="C9">
        <f>B9*C2</f>
        <v>265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v>25</v>
      </c>
      <c r="C11">
        <f>B11*C2</f>
        <v>500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"/>
  <sheetViews>
    <sheetView workbookViewId="0">
      <selection activeCell="K3" sqref="K3"/>
    </sheetView>
  </sheetViews>
  <sheetFormatPr baseColWidth="10" defaultColWidth="8.83203125" defaultRowHeight="15" x14ac:dyDescent="0.2"/>
  <cols>
    <col min="1" max="1" width="13.5" customWidth="1"/>
    <col min="10" max="10" width="29.33203125" customWidth="1"/>
    <col min="11" max="11" width="39.83203125" customWidth="1"/>
    <col min="12" max="12" width="12.6640625" customWidth="1"/>
  </cols>
  <sheetData>
    <row r="1" spans="1:12" x14ac:dyDescent="0.2">
      <c r="A1" t="s">
        <v>72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7" customHeight="1" x14ac:dyDescent="0.2">
      <c r="B2" s="8" t="s">
        <v>9</v>
      </c>
      <c r="C2">
        <v>20</v>
      </c>
      <c r="E2" s="7"/>
      <c r="H2" s="5" t="s">
        <v>43</v>
      </c>
      <c r="I2" t="s">
        <v>144</v>
      </c>
      <c r="J2" s="1" t="s">
        <v>53</v>
      </c>
      <c r="K2" s="1" t="s">
        <v>131</v>
      </c>
      <c r="L2" t="s">
        <v>130</v>
      </c>
    </row>
    <row r="3" spans="1:12" x14ac:dyDescent="0.2">
      <c r="A3" t="s">
        <v>0</v>
      </c>
      <c r="B3">
        <v>5</v>
      </c>
      <c r="C3">
        <f>B3*C2</f>
        <v>100</v>
      </c>
      <c r="J3" t="s">
        <v>36</v>
      </c>
      <c r="K3" t="s">
        <v>132</v>
      </c>
    </row>
    <row r="4" spans="1:12" x14ac:dyDescent="0.2">
      <c r="A4" t="s">
        <v>1</v>
      </c>
      <c r="B4">
        <v>2.5</v>
      </c>
      <c r="C4">
        <f>B4*C2</f>
        <v>50</v>
      </c>
      <c r="J4" t="s">
        <v>54</v>
      </c>
    </row>
    <row r="5" spans="1:12" x14ac:dyDescent="0.2">
      <c r="A5" t="s">
        <v>2</v>
      </c>
      <c r="B5">
        <v>0.5</v>
      </c>
      <c r="C5">
        <f>B5*C2</f>
        <v>10</v>
      </c>
      <c r="J5" t="s">
        <v>55</v>
      </c>
    </row>
    <row r="6" spans="1:12" x14ac:dyDescent="0.2">
      <c r="A6" t="s">
        <v>4</v>
      </c>
      <c r="B6">
        <v>1.25</v>
      </c>
      <c r="C6">
        <f>B6*C2</f>
        <v>25</v>
      </c>
      <c r="J6" t="s">
        <v>39</v>
      </c>
    </row>
    <row r="7" spans="1:12" x14ac:dyDescent="0.2">
      <c r="A7" t="s">
        <v>5</v>
      </c>
      <c r="B7">
        <v>1.25</v>
      </c>
      <c r="C7">
        <f>B7*C2</f>
        <v>25</v>
      </c>
      <c r="J7" t="s">
        <v>56</v>
      </c>
    </row>
    <row r="8" spans="1:12" x14ac:dyDescent="0.2">
      <c r="A8" t="s">
        <v>6</v>
      </c>
      <c r="B8">
        <v>0.2</v>
      </c>
      <c r="C8">
        <f>B8*C2</f>
        <v>4</v>
      </c>
    </row>
    <row r="9" spans="1:12" x14ac:dyDescent="0.2">
      <c r="A9" t="s">
        <v>7</v>
      </c>
      <c r="B9">
        <v>13.25</v>
      </c>
      <c r="C9">
        <f>B9*C2</f>
        <v>265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v>25</v>
      </c>
      <c r="C11">
        <f>B11*C2</f>
        <v>500</v>
      </c>
    </row>
  </sheetData>
  <phoneticPr fontId="6" type="noConversion"/>
  <pageMargins left="0.7" right="0.7" top="0.75" bottom="0.75" header="0.3" footer="0.3"/>
  <pageSetup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workbookViewId="0">
      <selection sqref="A1:C11"/>
    </sheetView>
  </sheetViews>
  <sheetFormatPr baseColWidth="10" defaultColWidth="8.83203125" defaultRowHeight="15" x14ac:dyDescent="0.2"/>
  <cols>
    <col min="11" max="11" width="30.5" customWidth="1"/>
    <col min="12" max="12" width="36.1640625" customWidth="1"/>
  </cols>
  <sheetData>
    <row r="1" spans="1:13" x14ac:dyDescent="0.2">
      <c r="A1" t="s">
        <v>11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">
      <c r="B2" t="s">
        <v>9</v>
      </c>
      <c r="C2">
        <v>5</v>
      </c>
      <c r="I2" t="s">
        <v>43</v>
      </c>
      <c r="J2" t="s">
        <v>194</v>
      </c>
      <c r="K2" t="s">
        <v>66</v>
      </c>
      <c r="L2" t="s">
        <v>196</v>
      </c>
      <c r="M2" t="s">
        <v>195</v>
      </c>
    </row>
    <row r="3" spans="1:13" x14ac:dyDescent="0.2">
      <c r="A3" t="s">
        <v>0</v>
      </c>
      <c r="B3">
        <v>5</v>
      </c>
      <c r="C3">
        <f>B3*C2</f>
        <v>25</v>
      </c>
      <c r="K3" t="s">
        <v>67</v>
      </c>
      <c r="L3" t="s">
        <v>197</v>
      </c>
    </row>
    <row r="4" spans="1:13" x14ac:dyDescent="0.2">
      <c r="A4" t="s">
        <v>1</v>
      </c>
      <c r="B4">
        <v>3</v>
      </c>
      <c r="C4">
        <f>B4*C2</f>
        <v>15</v>
      </c>
      <c r="K4" t="s">
        <v>68</v>
      </c>
    </row>
    <row r="5" spans="1:13" x14ac:dyDescent="0.2">
      <c r="A5" t="s">
        <v>2</v>
      </c>
      <c r="B5">
        <v>0.5</v>
      </c>
      <c r="C5">
        <f>B5*C2</f>
        <v>2.5</v>
      </c>
      <c r="K5" t="s">
        <v>192</v>
      </c>
    </row>
    <row r="6" spans="1:13" x14ac:dyDescent="0.2">
      <c r="A6" t="s">
        <v>4</v>
      </c>
      <c r="B6">
        <v>1.25</v>
      </c>
      <c r="C6">
        <f>B6*C2</f>
        <v>6.25</v>
      </c>
      <c r="K6" t="s">
        <v>50</v>
      </c>
    </row>
    <row r="7" spans="1:13" x14ac:dyDescent="0.2">
      <c r="A7" t="s">
        <v>5</v>
      </c>
      <c r="B7">
        <v>1.25</v>
      </c>
      <c r="C7">
        <f>B7*C2</f>
        <v>6.25</v>
      </c>
      <c r="K7" t="s">
        <v>193</v>
      </c>
    </row>
    <row r="8" spans="1:13" x14ac:dyDescent="0.2">
      <c r="A8" t="s">
        <v>6</v>
      </c>
      <c r="B8">
        <v>0.3</v>
      </c>
      <c r="C8">
        <f>B8*C2</f>
        <v>1.5</v>
      </c>
    </row>
    <row r="9" spans="1:13" x14ac:dyDescent="0.2">
      <c r="A9" t="s">
        <v>7</v>
      </c>
      <c r="B9">
        <v>12.45</v>
      </c>
      <c r="C9">
        <f>B9*C2</f>
        <v>62.25</v>
      </c>
    </row>
    <row r="10" spans="1:13" x14ac:dyDescent="0.2">
      <c r="A10" t="s">
        <v>8</v>
      </c>
      <c r="B10">
        <v>1.25</v>
      </c>
      <c r="C10">
        <f>B10*C2</f>
        <v>6.25</v>
      </c>
    </row>
    <row r="11" spans="1:13" x14ac:dyDescent="0.2">
      <c r="A11" t="s">
        <v>10</v>
      </c>
      <c r="B11">
        <v>25</v>
      </c>
      <c r="C11">
        <f>B11*C2</f>
        <v>125</v>
      </c>
    </row>
  </sheetData>
  <phoneticPr fontId="6" type="noConversion"/>
  <pageMargins left="0.7" right="0.7" top="0.75" bottom="0.75" header="0.3" footer="0.3"/>
  <pageSetup orientation="portrait" horizontalDpi="4294967292" vertic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"/>
  <sheetViews>
    <sheetView workbookViewId="0">
      <selection activeCell="H2" sqref="H2"/>
    </sheetView>
  </sheetViews>
  <sheetFormatPr baseColWidth="10" defaultColWidth="8.83203125" defaultRowHeight="15" x14ac:dyDescent="0.2"/>
  <cols>
    <col min="9" max="9" width="14.6640625" customWidth="1"/>
    <col min="10" max="10" width="25.6640625" customWidth="1"/>
    <col min="11" max="11" width="33.6640625" customWidth="1"/>
    <col min="12" max="12" width="30.33203125" customWidth="1"/>
  </cols>
  <sheetData>
    <row r="1" spans="1:12" x14ac:dyDescent="0.2">
      <c r="A1" t="s">
        <v>12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8" customHeight="1" x14ac:dyDescent="0.2">
      <c r="B2" t="s">
        <v>9</v>
      </c>
      <c r="C2">
        <v>20</v>
      </c>
      <c r="H2" t="s">
        <v>43</v>
      </c>
      <c r="I2" t="s">
        <v>198</v>
      </c>
      <c r="J2" s="1" t="s">
        <v>53</v>
      </c>
      <c r="K2" s="1" t="s">
        <v>122</v>
      </c>
      <c r="L2" s="1" t="s">
        <v>126</v>
      </c>
    </row>
    <row r="3" spans="1:12" x14ac:dyDescent="0.2">
      <c r="A3" t="s">
        <v>13</v>
      </c>
      <c r="B3">
        <v>2.5</v>
      </c>
      <c r="C3">
        <f>B3*C2</f>
        <v>50</v>
      </c>
      <c r="J3" t="s">
        <v>199</v>
      </c>
      <c r="K3" t="s">
        <v>123</v>
      </c>
      <c r="L3" t="s">
        <v>127</v>
      </c>
    </row>
    <row r="4" spans="1:12" x14ac:dyDescent="0.2">
      <c r="A4" t="s">
        <v>14</v>
      </c>
      <c r="B4">
        <v>3.45</v>
      </c>
      <c r="C4">
        <f>B4*C2</f>
        <v>69</v>
      </c>
      <c r="J4" t="s">
        <v>200</v>
      </c>
      <c r="K4" t="s">
        <v>124</v>
      </c>
      <c r="L4" t="s">
        <v>212</v>
      </c>
    </row>
    <row r="5" spans="1:12" x14ac:dyDescent="0.2">
      <c r="A5" t="s">
        <v>2</v>
      </c>
      <c r="B5">
        <v>0.5</v>
      </c>
      <c r="C5">
        <f>B5*C2</f>
        <v>10</v>
      </c>
      <c r="J5" t="s">
        <v>55</v>
      </c>
      <c r="K5" t="s">
        <v>125</v>
      </c>
    </row>
    <row r="6" spans="1:12" x14ac:dyDescent="0.2">
      <c r="A6" t="s">
        <v>4</v>
      </c>
      <c r="B6">
        <v>1.25</v>
      </c>
      <c r="C6">
        <f>B6*C2</f>
        <v>25</v>
      </c>
      <c r="J6" t="s">
        <v>39</v>
      </c>
    </row>
    <row r="7" spans="1:12" x14ac:dyDescent="0.2">
      <c r="A7" t="s">
        <v>5</v>
      </c>
      <c r="B7">
        <v>1.25</v>
      </c>
      <c r="C7">
        <f>B7*C2</f>
        <v>25</v>
      </c>
      <c r="J7" t="s">
        <v>201</v>
      </c>
    </row>
    <row r="8" spans="1:12" x14ac:dyDescent="0.2">
      <c r="A8" t="s">
        <v>15</v>
      </c>
      <c r="B8">
        <v>1.25</v>
      </c>
      <c r="C8">
        <f>B8*C2</f>
        <v>25</v>
      </c>
      <c r="J8" t="s">
        <v>121</v>
      </c>
    </row>
    <row r="9" spans="1:12" x14ac:dyDescent="0.2">
      <c r="A9" t="s">
        <v>16</v>
      </c>
      <c r="B9">
        <v>1.25</v>
      </c>
      <c r="C9">
        <f>B9*C2</f>
        <v>25</v>
      </c>
    </row>
    <row r="10" spans="1:12" x14ac:dyDescent="0.2">
      <c r="A10" t="s">
        <v>6</v>
      </c>
      <c r="B10">
        <v>0.5</v>
      </c>
      <c r="C10">
        <f>B10*C2</f>
        <v>10</v>
      </c>
    </row>
    <row r="11" spans="1:12" x14ac:dyDescent="0.2">
      <c r="A11" t="s">
        <v>7</v>
      </c>
      <c r="B11">
        <v>11.05</v>
      </c>
      <c r="C11">
        <f>B11*C2</f>
        <v>221</v>
      </c>
    </row>
    <row r="12" spans="1:12" x14ac:dyDescent="0.2">
      <c r="A12" t="s">
        <v>8</v>
      </c>
      <c r="B12">
        <v>2</v>
      </c>
      <c r="C12">
        <f>B12*C2</f>
        <v>40</v>
      </c>
    </row>
    <row r="13" spans="1:12" x14ac:dyDescent="0.2">
      <c r="A13" t="s">
        <v>10</v>
      </c>
      <c r="B13">
        <f>SUM(B3:B12)</f>
        <v>25</v>
      </c>
      <c r="C13">
        <f>B13*C2</f>
        <v>500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workbookViewId="0">
      <selection activeCell="I6" sqref="I6"/>
    </sheetView>
  </sheetViews>
  <sheetFormatPr baseColWidth="10" defaultColWidth="8.83203125" defaultRowHeight="15" x14ac:dyDescent="0.2"/>
  <cols>
    <col min="1" max="1" width="13.5" customWidth="1"/>
    <col min="10" max="10" width="31.83203125" customWidth="1"/>
    <col min="11" max="11" width="20.6640625" customWidth="1"/>
    <col min="12" max="12" width="12.6640625" customWidth="1"/>
  </cols>
  <sheetData>
    <row r="1" spans="1:12" x14ac:dyDescent="0.2">
      <c r="A1" t="s">
        <v>52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7" customHeight="1" x14ac:dyDescent="0.2">
      <c r="B2" s="8" t="s">
        <v>9</v>
      </c>
      <c r="C2">
        <v>20</v>
      </c>
      <c r="E2" s="7"/>
      <c r="H2" s="5" t="s">
        <v>43</v>
      </c>
      <c r="I2" s="5" t="s">
        <v>57</v>
      </c>
      <c r="J2" s="6" t="s">
        <v>58</v>
      </c>
      <c r="K2" s="1" t="s">
        <v>45</v>
      </c>
    </row>
    <row r="3" spans="1:12" x14ac:dyDescent="0.2">
      <c r="A3" t="s">
        <v>0</v>
      </c>
      <c r="B3">
        <v>5</v>
      </c>
      <c r="C3">
        <f>B3*C2</f>
        <v>100</v>
      </c>
      <c r="J3" t="s">
        <v>59</v>
      </c>
    </row>
    <row r="4" spans="1:12" x14ac:dyDescent="0.2">
      <c r="A4" t="s">
        <v>1</v>
      </c>
      <c r="B4">
        <v>2.5</v>
      </c>
      <c r="C4">
        <f>B4*C2</f>
        <v>50</v>
      </c>
      <c r="J4" t="s">
        <v>60</v>
      </c>
    </row>
    <row r="5" spans="1:12" x14ac:dyDescent="0.2">
      <c r="A5" t="s">
        <v>2</v>
      </c>
      <c r="B5">
        <v>0.5</v>
      </c>
      <c r="C5">
        <f>B5*C2</f>
        <v>10</v>
      </c>
      <c r="J5" t="s">
        <v>55</v>
      </c>
    </row>
    <row r="6" spans="1:12" x14ac:dyDescent="0.2">
      <c r="A6" t="s">
        <v>4</v>
      </c>
      <c r="B6">
        <v>1.25</v>
      </c>
      <c r="C6">
        <f>B6*C2</f>
        <v>25</v>
      </c>
      <c r="J6" t="s">
        <v>39</v>
      </c>
    </row>
    <row r="7" spans="1:12" x14ac:dyDescent="0.2">
      <c r="A7" t="s">
        <v>5</v>
      </c>
      <c r="B7">
        <v>1.25</v>
      </c>
      <c r="C7">
        <f>B7*C2</f>
        <v>25</v>
      </c>
      <c r="J7" t="s">
        <v>56</v>
      </c>
    </row>
    <row r="8" spans="1:12" x14ac:dyDescent="0.2">
      <c r="A8" t="s">
        <v>6</v>
      </c>
      <c r="B8">
        <v>0.2</v>
      </c>
      <c r="C8">
        <f>B8*C2</f>
        <v>4</v>
      </c>
      <c r="J8" t="s">
        <v>61</v>
      </c>
    </row>
    <row r="9" spans="1:12" x14ac:dyDescent="0.2">
      <c r="A9" t="s">
        <v>7</v>
      </c>
      <c r="B9">
        <v>13.25</v>
      </c>
      <c r="C9">
        <f>B9*C2</f>
        <v>265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v>25</v>
      </c>
      <c r="C11">
        <f>B11*C2</f>
        <v>500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topLeftCell="B1" workbookViewId="0">
      <selection activeCell="L2" sqref="L2"/>
    </sheetView>
  </sheetViews>
  <sheetFormatPr baseColWidth="10" defaultColWidth="8.83203125" defaultRowHeight="15" x14ac:dyDescent="0.2"/>
  <cols>
    <col min="1" max="1" width="9.5" customWidth="1"/>
    <col min="10" max="10" width="25.5" customWidth="1"/>
    <col min="11" max="11" width="42" customWidth="1"/>
    <col min="12" max="12" width="13.1640625" customWidth="1"/>
  </cols>
  <sheetData>
    <row r="1" spans="1:12" ht="16" x14ac:dyDescent="0.2">
      <c r="A1" t="s">
        <v>205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</row>
    <row r="2" spans="1:12" ht="16" x14ac:dyDescent="0.2">
      <c r="B2" t="s">
        <v>9</v>
      </c>
      <c r="C2">
        <v>20</v>
      </c>
      <c r="H2" t="s">
        <v>83</v>
      </c>
      <c r="I2" t="s">
        <v>205</v>
      </c>
      <c r="J2" s="1" t="s">
        <v>58</v>
      </c>
      <c r="K2" s="1" t="s">
        <v>207</v>
      </c>
      <c r="L2" s="1" t="s">
        <v>209</v>
      </c>
    </row>
    <row r="3" spans="1:12" x14ac:dyDescent="0.2">
      <c r="A3" t="s">
        <v>0</v>
      </c>
      <c r="B3">
        <v>5</v>
      </c>
      <c r="C3">
        <f>B3*C2</f>
        <v>100</v>
      </c>
      <c r="J3" t="s">
        <v>36</v>
      </c>
      <c r="K3" t="s">
        <v>208</v>
      </c>
    </row>
    <row r="4" spans="1:12" x14ac:dyDescent="0.2">
      <c r="A4" t="s">
        <v>1</v>
      </c>
      <c r="B4">
        <v>3</v>
      </c>
      <c r="C4">
        <f>B4*C2</f>
        <v>60</v>
      </c>
      <c r="J4" t="s">
        <v>206</v>
      </c>
    </row>
    <row r="5" spans="1:12" x14ac:dyDescent="0.2">
      <c r="A5" t="s">
        <v>2</v>
      </c>
      <c r="B5">
        <v>0.5</v>
      </c>
      <c r="C5">
        <f>B5*C2</f>
        <v>10</v>
      </c>
      <c r="J5" t="s">
        <v>55</v>
      </c>
    </row>
    <row r="6" spans="1:12" x14ac:dyDescent="0.2">
      <c r="A6" t="s">
        <v>4</v>
      </c>
      <c r="B6">
        <v>0.5</v>
      </c>
      <c r="C6">
        <f>B6*C2</f>
        <v>10</v>
      </c>
      <c r="J6" t="s">
        <v>50</v>
      </c>
    </row>
    <row r="7" spans="1:12" x14ac:dyDescent="0.2">
      <c r="A7" t="s">
        <v>5</v>
      </c>
      <c r="B7">
        <v>0.5</v>
      </c>
      <c r="C7">
        <f>B7*C2</f>
        <v>10</v>
      </c>
      <c r="J7" t="s">
        <v>86</v>
      </c>
    </row>
    <row r="8" spans="1:12" x14ac:dyDescent="0.2">
      <c r="A8" t="s">
        <v>6</v>
      </c>
      <c r="B8">
        <v>0.5</v>
      </c>
      <c r="C8">
        <f>B8*C2</f>
        <v>10</v>
      </c>
    </row>
    <row r="9" spans="1:12" x14ac:dyDescent="0.2">
      <c r="A9" t="s">
        <v>7</v>
      </c>
      <c r="B9">
        <v>13.5</v>
      </c>
      <c r="C9">
        <f>B9*C2</f>
        <v>270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f>SUM(B3:B10)</f>
        <v>24.5</v>
      </c>
      <c r="C11">
        <f>B11*C2</f>
        <v>490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2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9.5" customWidth="1"/>
    <col min="10" max="10" width="25.5" customWidth="1"/>
    <col min="11" max="11" width="41.33203125" customWidth="1"/>
    <col min="12" max="12" width="13.1640625" customWidth="1"/>
  </cols>
  <sheetData>
    <row r="1" spans="1:12" ht="16" x14ac:dyDescent="0.2">
      <c r="A1" t="s">
        <v>204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</row>
    <row r="2" spans="1:12" ht="16" x14ac:dyDescent="0.2">
      <c r="B2" t="s">
        <v>9</v>
      </c>
      <c r="C2">
        <v>20</v>
      </c>
      <c r="H2" t="s">
        <v>83</v>
      </c>
      <c r="I2" t="s">
        <v>133</v>
      </c>
      <c r="J2" s="1" t="s">
        <v>53</v>
      </c>
      <c r="K2" s="1" t="s">
        <v>134</v>
      </c>
      <c r="L2" s="1" t="s">
        <v>202</v>
      </c>
    </row>
    <row r="3" spans="1:12" x14ac:dyDescent="0.2">
      <c r="A3" t="s">
        <v>0</v>
      </c>
      <c r="B3">
        <v>5</v>
      </c>
      <c r="C3">
        <f>B3*C2</f>
        <v>100</v>
      </c>
      <c r="J3" t="s">
        <v>36</v>
      </c>
      <c r="K3" t="s">
        <v>135</v>
      </c>
      <c r="L3" t="s">
        <v>203</v>
      </c>
    </row>
    <row r="4" spans="1:12" x14ac:dyDescent="0.2">
      <c r="A4" t="s">
        <v>1</v>
      </c>
      <c r="B4">
        <v>3</v>
      </c>
      <c r="C4">
        <f>B4*C2</f>
        <v>60</v>
      </c>
      <c r="J4" t="s">
        <v>37</v>
      </c>
      <c r="K4" t="s">
        <v>136</v>
      </c>
    </row>
    <row r="5" spans="1:12" x14ac:dyDescent="0.2">
      <c r="A5" t="s">
        <v>2</v>
      </c>
      <c r="B5">
        <v>0.5</v>
      </c>
      <c r="C5">
        <f>B5*C2</f>
        <v>10</v>
      </c>
      <c r="J5" t="s">
        <v>49</v>
      </c>
    </row>
    <row r="6" spans="1:12" x14ac:dyDescent="0.2">
      <c r="A6" t="s">
        <v>4</v>
      </c>
      <c r="B6">
        <v>0.5</v>
      </c>
      <c r="C6">
        <f>B6*C2</f>
        <v>10</v>
      </c>
      <c r="J6" t="s">
        <v>50</v>
      </c>
    </row>
    <row r="7" spans="1:12" x14ac:dyDescent="0.2">
      <c r="A7" t="s">
        <v>5</v>
      </c>
      <c r="B7">
        <v>0.5</v>
      </c>
      <c r="C7">
        <f>B7*C2</f>
        <v>10</v>
      </c>
      <c r="J7" t="s">
        <v>56</v>
      </c>
    </row>
    <row r="8" spans="1:12" x14ac:dyDescent="0.2">
      <c r="A8" t="s">
        <v>15</v>
      </c>
      <c r="B8">
        <v>0.5</v>
      </c>
      <c r="C8">
        <f>B8*C2</f>
        <v>10</v>
      </c>
    </row>
    <row r="9" spans="1:12" x14ac:dyDescent="0.2">
      <c r="A9" t="s">
        <v>6</v>
      </c>
      <c r="B9">
        <v>0.5</v>
      </c>
      <c r="C9">
        <f>B9*C2</f>
        <v>10</v>
      </c>
    </row>
    <row r="10" spans="1:12" x14ac:dyDescent="0.2">
      <c r="A10" t="s">
        <v>7</v>
      </c>
      <c r="B10">
        <v>13.5</v>
      </c>
      <c r="C10">
        <f>B10*C2</f>
        <v>270</v>
      </c>
    </row>
    <row r="11" spans="1:12" x14ac:dyDescent="0.2">
      <c r="A11" t="s">
        <v>8</v>
      </c>
      <c r="B11">
        <v>1</v>
      </c>
      <c r="C11">
        <f>B11*C2</f>
        <v>20</v>
      </c>
    </row>
    <row r="12" spans="1:12" x14ac:dyDescent="0.2">
      <c r="A12" t="s">
        <v>10</v>
      </c>
      <c r="B12">
        <f>SUM(B3:B11)</f>
        <v>25</v>
      </c>
      <c r="C12">
        <f>B12*C2</f>
        <v>500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1"/>
  <sheetViews>
    <sheetView workbookViewId="0">
      <selection activeCell="J14" sqref="J14"/>
    </sheetView>
  </sheetViews>
  <sheetFormatPr baseColWidth="10" defaultColWidth="8.83203125" defaultRowHeight="15" x14ac:dyDescent="0.2"/>
  <cols>
    <col min="1" max="1" width="9.5" customWidth="1"/>
    <col min="10" max="10" width="25.5" customWidth="1"/>
    <col min="11" max="11" width="41.33203125" customWidth="1"/>
    <col min="12" max="12" width="13.1640625" customWidth="1"/>
  </cols>
  <sheetData>
    <row r="1" spans="1:12" ht="16" x14ac:dyDescent="0.2">
      <c r="A1" t="s">
        <v>27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</row>
    <row r="2" spans="1:12" ht="16" x14ac:dyDescent="0.2">
      <c r="B2" t="s">
        <v>9</v>
      </c>
      <c r="C2">
        <v>20</v>
      </c>
      <c r="H2" t="s">
        <v>83</v>
      </c>
      <c r="I2" t="s">
        <v>82</v>
      </c>
      <c r="J2" s="1" t="s">
        <v>53</v>
      </c>
      <c r="K2" s="1" t="s">
        <v>87</v>
      </c>
      <c r="L2" s="1" t="s">
        <v>89</v>
      </c>
    </row>
    <row r="3" spans="1:12" x14ac:dyDescent="0.2">
      <c r="A3" t="s">
        <v>13</v>
      </c>
      <c r="B3">
        <v>2.5</v>
      </c>
      <c r="C3">
        <f>B3*C2</f>
        <v>50</v>
      </c>
      <c r="J3" t="s">
        <v>36</v>
      </c>
      <c r="K3" t="s">
        <v>88</v>
      </c>
      <c r="L3" t="s">
        <v>90</v>
      </c>
    </row>
    <row r="4" spans="1:12" x14ac:dyDescent="0.2">
      <c r="A4" t="s">
        <v>1</v>
      </c>
      <c r="B4">
        <v>3</v>
      </c>
      <c r="C4">
        <f>B4*C2</f>
        <v>60</v>
      </c>
      <c r="J4" t="s">
        <v>84</v>
      </c>
      <c r="L4" t="s">
        <v>91</v>
      </c>
    </row>
    <row r="5" spans="1:12" x14ac:dyDescent="0.2">
      <c r="A5" t="s">
        <v>2</v>
      </c>
      <c r="B5">
        <v>0.5</v>
      </c>
      <c r="C5">
        <f>B5*C2</f>
        <v>10</v>
      </c>
      <c r="J5" t="s">
        <v>85</v>
      </c>
    </row>
    <row r="6" spans="1:12" x14ac:dyDescent="0.2">
      <c r="A6" t="s">
        <v>4</v>
      </c>
      <c r="B6">
        <v>1.5</v>
      </c>
      <c r="C6">
        <f>B6*C2</f>
        <v>30</v>
      </c>
      <c r="J6" t="s">
        <v>77</v>
      </c>
    </row>
    <row r="7" spans="1:12" x14ac:dyDescent="0.2">
      <c r="A7" t="s">
        <v>5</v>
      </c>
      <c r="B7">
        <v>1.5</v>
      </c>
      <c r="C7">
        <f>B7*C2</f>
        <v>30</v>
      </c>
      <c r="J7" t="s">
        <v>86</v>
      </c>
    </row>
    <row r="8" spans="1:12" x14ac:dyDescent="0.2">
      <c r="A8" t="s">
        <v>6</v>
      </c>
      <c r="B8">
        <v>0.5</v>
      </c>
      <c r="C8">
        <f>B8*C2</f>
        <v>10</v>
      </c>
    </row>
    <row r="9" spans="1:12" x14ac:dyDescent="0.2">
      <c r="A9" t="s">
        <v>7</v>
      </c>
      <c r="B9">
        <v>14.5</v>
      </c>
      <c r="C9">
        <f>B9*C2</f>
        <v>290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f>SUM(B3:B10)</f>
        <v>25</v>
      </c>
      <c r="C11">
        <f>B11*C2</f>
        <v>500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3"/>
  <sheetViews>
    <sheetView workbookViewId="0">
      <selection activeCell="J16" sqref="J16"/>
    </sheetView>
  </sheetViews>
  <sheetFormatPr baseColWidth="10" defaultColWidth="8.83203125" defaultRowHeight="15" x14ac:dyDescent="0.2"/>
  <cols>
    <col min="9" max="9" width="22.6640625" customWidth="1"/>
    <col min="10" max="10" width="34" customWidth="1"/>
    <col min="11" max="11" width="15" customWidth="1"/>
  </cols>
  <sheetData>
    <row r="1" spans="1:11" x14ac:dyDescent="0.2">
      <c r="A1" t="s">
        <v>26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ht="16" x14ac:dyDescent="0.2">
      <c r="B2" t="s">
        <v>9</v>
      </c>
      <c r="C2">
        <v>20</v>
      </c>
      <c r="G2" t="s">
        <v>83</v>
      </c>
      <c r="H2" t="s">
        <v>92</v>
      </c>
      <c r="I2" s="1" t="s">
        <v>53</v>
      </c>
      <c r="J2" s="1" t="s">
        <v>95</v>
      </c>
      <c r="K2" s="10" t="s">
        <v>98</v>
      </c>
    </row>
    <row r="3" spans="1:11" x14ac:dyDescent="0.2">
      <c r="A3" t="s">
        <v>13</v>
      </c>
      <c r="B3">
        <v>2.5</v>
      </c>
      <c r="C3">
        <f>B3*C2</f>
        <v>50</v>
      </c>
      <c r="I3" t="s">
        <v>36</v>
      </c>
      <c r="J3" t="s">
        <v>96</v>
      </c>
      <c r="K3" t="s">
        <v>99</v>
      </c>
    </row>
    <row r="4" spans="1:11" x14ac:dyDescent="0.2">
      <c r="A4" t="s">
        <v>14</v>
      </c>
      <c r="B4">
        <v>2.5</v>
      </c>
      <c r="C4">
        <f>B4*C2</f>
        <v>50</v>
      </c>
      <c r="I4" t="s">
        <v>93</v>
      </c>
      <c r="J4" t="s">
        <v>97</v>
      </c>
    </row>
    <row r="5" spans="1:11" x14ac:dyDescent="0.2">
      <c r="A5" t="s">
        <v>1</v>
      </c>
      <c r="B5">
        <v>3</v>
      </c>
      <c r="C5">
        <f>B5*C2</f>
        <v>60</v>
      </c>
      <c r="I5" t="s">
        <v>49</v>
      </c>
    </row>
    <row r="6" spans="1:11" x14ac:dyDescent="0.2">
      <c r="A6" t="s">
        <v>2</v>
      </c>
      <c r="B6">
        <v>0.5</v>
      </c>
      <c r="C6">
        <f>B6*C2</f>
        <v>10</v>
      </c>
      <c r="I6" t="s">
        <v>94</v>
      </c>
    </row>
    <row r="7" spans="1:11" x14ac:dyDescent="0.2">
      <c r="A7" t="s">
        <v>4</v>
      </c>
      <c r="B7">
        <v>1.5</v>
      </c>
      <c r="C7">
        <f>B7*C2</f>
        <v>30</v>
      </c>
      <c r="I7" t="s">
        <v>56</v>
      </c>
    </row>
    <row r="8" spans="1:11" x14ac:dyDescent="0.2">
      <c r="A8" t="s">
        <v>5</v>
      </c>
      <c r="B8">
        <v>1.5</v>
      </c>
      <c r="C8">
        <f>B8*C2</f>
        <v>30</v>
      </c>
    </row>
    <row r="9" spans="1:11" x14ac:dyDescent="0.2">
      <c r="A9" t="s">
        <v>15</v>
      </c>
      <c r="B9">
        <v>1.5</v>
      </c>
      <c r="C9">
        <f>B9*C2</f>
        <v>30</v>
      </c>
    </row>
    <row r="10" spans="1:11" x14ac:dyDescent="0.2">
      <c r="A10" t="s">
        <v>6</v>
      </c>
      <c r="B10">
        <v>0.5</v>
      </c>
      <c r="C10">
        <f>B10*C2</f>
        <v>10</v>
      </c>
    </row>
    <row r="11" spans="1:11" x14ac:dyDescent="0.2">
      <c r="A11" t="s">
        <v>7</v>
      </c>
      <c r="B11">
        <v>10.5</v>
      </c>
      <c r="C11">
        <f>B11*C2</f>
        <v>210</v>
      </c>
    </row>
    <row r="12" spans="1:11" x14ac:dyDescent="0.2">
      <c r="A12" t="s">
        <v>8</v>
      </c>
      <c r="B12">
        <v>1</v>
      </c>
      <c r="C12">
        <f>B12*C2</f>
        <v>20</v>
      </c>
    </row>
    <row r="13" spans="1:11" x14ac:dyDescent="0.2">
      <c r="A13" t="s">
        <v>10</v>
      </c>
      <c r="B13">
        <f>SUM(B3:B12)</f>
        <v>25</v>
      </c>
      <c r="C13">
        <f>B13*C2</f>
        <v>500</v>
      </c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2"/>
  <sheetViews>
    <sheetView topLeftCell="A2" workbookViewId="0">
      <selection activeCell="K2" sqref="K2:K4"/>
    </sheetView>
  </sheetViews>
  <sheetFormatPr baseColWidth="10" defaultColWidth="8.83203125" defaultRowHeight="15" x14ac:dyDescent="0.2"/>
  <cols>
    <col min="10" max="10" width="34.83203125" customWidth="1"/>
    <col min="11" max="11" width="39.1640625" customWidth="1"/>
    <col min="12" max="12" width="18.83203125" customWidth="1"/>
  </cols>
  <sheetData>
    <row r="1" spans="1:12" x14ac:dyDescent="0.2">
      <c r="A1" t="s">
        <v>25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6" x14ac:dyDescent="0.2">
      <c r="B2" t="s">
        <v>9</v>
      </c>
      <c r="C2">
        <v>20</v>
      </c>
      <c r="H2" t="s">
        <v>100</v>
      </c>
      <c r="I2" t="s">
        <v>101</v>
      </c>
      <c r="J2" s="1" t="s">
        <v>53</v>
      </c>
      <c r="K2" s="1" t="s">
        <v>103</v>
      </c>
    </row>
    <row r="3" spans="1:12" x14ac:dyDescent="0.2">
      <c r="A3" t="s">
        <v>0</v>
      </c>
      <c r="B3">
        <v>5</v>
      </c>
      <c r="C3">
        <f>B3*C2</f>
        <v>100</v>
      </c>
      <c r="J3" t="s">
        <v>36</v>
      </c>
      <c r="K3" t="s">
        <v>104</v>
      </c>
    </row>
    <row r="4" spans="1:12" x14ac:dyDescent="0.2">
      <c r="A4" t="s">
        <v>1</v>
      </c>
      <c r="B4">
        <v>2.5</v>
      </c>
      <c r="C4">
        <f>B4*C2</f>
        <v>50</v>
      </c>
      <c r="J4" t="s">
        <v>102</v>
      </c>
      <c r="K4" t="s">
        <v>105</v>
      </c>
    </row>
    <row r="5" spans="1:12" x14ac:dyDescent="0.2">
      <c r="A5" t="s">
        <v>2</v>
      </c>
      <c r="B5">
        <v>0.5</v>
      </c>
      <c r="C5">
        <f>B5*C2</f>
        <v>10</v>
      </c>
      <c r="J5" t="s">
        <v>49</v>
      </c>
    </row>
    <row r="6" spans="1:12" x14ac:dyDescent="0.2">
      <c r="A6" t="s">
        <v>4</v>
      </c>
      <c r="B6">
        <v>1.25</v>
      </c>
      <c r="C6">
        <f>B6*C2</f>
        <v>25</v>
      </c>
      <c r="J6" t="s">
        <v>39</v>
      </c>
    </row>
    <row r="7" spans="1:12" x14ac:dyDescent="0.2">
      <c r="A7" t="s">
        <v>5</v>
      </c>
      <c r="B7">
        <v>1.25</v>
      </c>
      <c r="C7">
        <f>B7*C2</f>
        <v>25</v>
      </c>
      <c r="J7" t="s">
        <v>56</v>
      </c>
    </row>
    <row r="8" spans="1:12" x14ac:dyDescent="0.2">
      <c r="A8" t="s">
        <v>15</v>
      </c>
      <c r="B8">
        <v>1.25</v>
      </c>
      <c r="C8">
        <f>B8*C2</f>
        <v>25</v>
      </c>
    </row>
    <row r="9" spans="1:12" x14ac:dyDescent="0.2">
      <c r="A9" t="s">
        <v>6</v>
      </c>
      <c r="B9">
        <v>0.25</v>
      </c>
      <c r="C9">
        <f>B9*C2</f>
        <v>5</v>
      </c>
    </row>
    <row r="10" spans="1:12" x14ac:dyDescent="0.2">
      <c r="A10" t="s">
        <v>7</v>
      </c>
      <c r="B10">
        <v>13.25</v>
      </c>
      <c r="C10">
        <f>B10*C2</f>
        <v>265</v>
      </c>
    </row>
    <row r="11" spans="1:12" x14ac:dyDescent="0.2">
      <c r="A11" t="s">
        <v>8</v>
      </c>
      <c r="B11">
        <v>1</v>
      </c>
      <c r="C11">
        <f>B11*C2</f>
        <v>20</v>
      </c>
    </row>
    <row r="12" spans="1:12" x14ac:dyDescent="0.2">
      <c r="A12" t="s">
        <v>10</v>
      </c>
      <c r="B12">
        <v>25</v>
      </c>
      <c r="C12">
        <f>B12*C2</f>
        <v>500</v>
      </c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workbookViewId="0">
      <selection activeCell="C12" sqref="A1:C12"/>
    </sheetView>
  </sheetViews>
  <sheetFormatPr baseColWidth="10" defaultColWidth="8.83203125" defaultRowHeight="15" x14ac:dyDescent="0.2"/>
  <cols>
    <col min="9" max="9" width="24.83203125" customWidth="1"/>
    <col min="10" max="10" width="36.83203125" customWidth="1"/>
  </cols>
  <sheetData>
    <row r="1" spans="1:11" x14ac:dyDescent="0.2">
      <c r="A1" t="s">
        <v>24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ht="16" x14ac:dyDescent="0.2">
      <c r="B2" t="s">
        <v>9</v>
      </c>
      <c r="C2">
        <v>20</v>
      </c>
      <c r="G2" t="s">
        <v>106</v>
      </c>
      <c r="H2" t="s">
        <v>107</v>
      </c>
      <c r="I2" s="1" t="s">
        <v>53</v>
      </c>
      <c r="J2" s="1" t="s">
        <v>113</v>
      </c>
    </row>
    <row r="3" spans="1:11" x14ac:dyDescent="0.2">
      <c r="A3" t="s">
        <v>0</v>
      </c>
      <c r="B3">
        <v>5</v>
      </c>
      <c r="C3">
        <f>B3*C2</f>
        <v>100</v>
      </c>
      <c r="I3" t="s">
        <v>36</v>
      </c>
      <c r="J3" t="s">
        <v>114</v>
      </c>
    </row>
    <row r="4" spans="1:11" x14ac:dyDescent="0.2">
      <c r="A4" t="s">
        <v>1</v>
      </c>
      <c r="B4">
        <v>2.5</v>
      </c>
      <c r="C4">
        <f>B4*C2</f>
        <v>50</v>
      </c>
      <c r="I4" t="s">
        <v>108</v>
      </c>
      <c r="J4" t="s">
        <v>115</v>
      </c>
    </row>
    <row r="5" spans="1:11" x14ac:dyDescent="0.2">
      <c r="A5" t="s">
        <v>2</v>
      </c>
      <c r="B5">
        <v>0.5</v>
      </c>
      <c r="C5">
        <f>B5*C2</f>
        <v>10</v>
      </c>
      <c r="I5" t="s">
        <v>109</v>
      </c>
    </row>
    <row r="6" spans="1:11" x14ac:dyDescent="0.2">
      <c r="A6" t="s">
        <v>4</v>
      </c>
      <c r="B6">
        <v>1.25</v>
      </c>
      <c r="C6">
        <f>B6*C2</f>
        <v>25</v>
      </c>
      <c r="I6" t="s">
        <v>110</v>
      </c>
    </row>
    <row r="7" spans="1:11" x14ac:dyDescent="0.2">
      <c r="A7" t="s">
        <v>5</v>
      </c>
      <c r="B7">
        <v>1.25</v>
      </c>
      <c r="C7">
        <f>B7*C2</f>
        <v>25</v>
      </c>
      <c r="I7" t="s">
        <v>111</v>
      </c>
    </row>
    <row r="8" spans="1:11" x14ac:dyDescent="0.2">
      <c r="A8" t="s">
        <v>15</v>
      </c>
      <c r="B8">
        <v>1.25</v>
      </c>
      <c r="C8">
        <f>B8*C2</f>
        <v>25</v>
      </c>
      <c r="I8" t="s">
        <v>112</v>
      </c>
    </row>
    <row r="9" spans="1:11" x14ac:dyDescent="0.2">
      <c r="A9" t="s">
        <v>6</v>
      </c>
      <c r="B9">
        <v>0.25</v>
      </c>
      <c r="C9">
        <f>B9*C2</f>
        <v>5</v>
      </c>
    </row>
    <row r="10" spans="1:11" x14ac:dyDescent="0.2">
      <c r="A10" t="s">
        <v>7</v>
      </c>
      <c r="B10">
        <v>12</v>
      </c>
      <c r="C10">
        <f>B10*C2</f>
        <v>240</v>
      </c>
    </row>
    <row r="11" spans="1:11" x14ac:dyDescent="0.2">
      <c r="A11" t="s">
        <v>8</v>
      </c>
      <c r="B11">
        <v>1</v>
      </c>
      <c r="C11">
        <f>B11*C2</f>
        <v>20</v>
      </c>
    </row>
    <row r="12" spans="1:11" x14ac:dyDescent="0.2">
      <c r="A12" t="s">
        <v>10</v>
      </c>
      <c r="B12">
        <v>25</v>
      </c>
      <c r="C12">
        <f>B12*C2</f>
        <v>500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1"/>
  <sheetViews>
    <sheetView workbookViewId="0">
      <selection activeCell="K10" sqref="K10"/>
    </sheetView>
  </sheetViews>
  <sheetFormatPr baseColWidth="10" defaultColWidth="8.83203125" defaultRowHeight="15" x14ac:dyDescent="0.2"/>
  <cols>
    <col min="10" max="10" width="25.1640625" customWidth="1"/>
    <col min="11" max="11" width="30.6640625" customWidth="1"/>
  </cols>
  <sheetData>
    <row r="1" spans="1:12" x14ac:dyDescent="0.2">
      <c r="A1" t="s">
        <v>18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6" x14ac:dyDescent="0.2">
      <c r="B2" t="s">
        <v>9</v>
      </c>
      <c r="C2">
        <v>20</v>
      </c>
      <c r="H2" t="s">
        <v>43</v>
      </c>
      <c r="I2" t="s">
        <v>18</v>
      </c>
      <c r="J2" s="1" t="s">
        <v>46</v>
      </c>
      <c r="K2" t="s">
        <v>116</v>
      </c>
    </row>
    <row r="3" spans="1:12" x14ac:dyDescent="0.2">
      <c r="A3" t="s">
        <v>0</v>
      </c>
      <c r="B3">
        <v>5</v>
      </c>
      <c r="C3">
        <f>B3*C2</f>
        <v>100</v>
      </c>
      <c r="J3" t="s">
        <v>47</v>
      </c>
      <c r="K3" t="s">
        <v>117</v>
      </c>
    </row>
    <row r="4" spans="1:12" x14ac:dyDescent="0.2">
      <c r="A4" t="s">
        <v>1</v>
      </c>
      <c r="B4">
        <v>2.5</v>
      </c>
      <c r="C4">
        <f>B4*C2</f>
        <v>50</v>
      </c>
      <c r="J4" t="s">
        <v>48</v>
      </c>
    </row>
    <row r="5" spans="1:12" x14ac:dyDescent="0.2">
      <c r="A5" t="s">
        <v>2</v>
      </c>
      <c r="B5">
        <v>0.5</v>
      </c>
      <c r="C5">
        <f>B5*C2</f>
        <v>10</v>
      </c>
      <c r="J5" t="s">
        <v>49</v>
      </c>
    </row>
    <row r="6" spans="1:12" x14ac:dyDescent="0.2">
      <c r="A6" t="s">
        <v>4</v>
      </c>
      <c r="B6">
        <v>1.25</v>
      </c>
      <c r="C6">
        <f>B6*C2</f>
        <v>25</v>
      </c>
      <c r="J6" t="s">
        <v>50</v>
      </c>
    </row>
    <row r="7" spans="1:12" x14ac:dyDescent="0.2">
      <c r="A7" t="s">
        <v>5</v>
      </c>
      <c r="B7">
        <v>1.25</v>
      </c>
      <c r="C7">
        <f>B7*C2</f>
        <v>25</v>
      </c>
      <c r="J7" t="s">
        <v>40</v>
      </c>
    </row>
    <row r="8" spans="1:12" x14ac:dyDescent="0.2">
      <c r="A8" t="s">
        <v>6</v>
      </c>
      <c r="B8">
        <v>0.25</v>
      </c>
      <c r="C8">
        <f>B8*C2</f>
        <v>5</v>
      </c>
    </row>
    <row r="9" spans="1:12" x14ac:dyDescent="0.2">
      <c r="A9" t="s">
        <v>7</v>
      </c>
      <c r="B9">
        <v>13.25</v>
      </c>
      <c r="C9">
        <f>B9*C2</f>
        <v>265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f>SUM(B3:B10)</f>
        <v>25</v>
      </c>
      <c r="C11">
        <f>SUM(C3:C10)</f>
        <v>500</v>
      </c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5"/>
  <sheetViews>
    <sheetView workbookViewId="0">
      <selection activeCell="C25" sqref="A1:C25"/>
    </sheetView>
  </sheetViews>
  <sheetFormatPr baseColWidth="10" defaultColWidth="8.83203125" defaultRowHeight="15" x14ac:dyDescent="0.2"/>
  <cols>
    <col min="1" max="1" width="11" customWidth="1"/>
    <col min="9" max="9" width="14" customWidth="1"/>
    <col min="10" max="10" width="24.5" customWidth="1"/>
    <col min="11" max="11" width="46.5" customWidth="1"/>
    <col min="12" max="12" width="18.33203125" customWidth="1"/>
  </cols>
  <sheetData>
    <row r="1" spans="1:13" x14ac:dyDescent="0.2">
      <c r="A1" t="s">
        <v>19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143</v>
      </c>
    </row>
    <row r="2" spans="1:13" ht="16" x14ac:dyDescent="0.2">
      <c r="B2" t="s">
        <v>9</v>
      </c>
      <c r="C2">
        <v>12</v>
      </c>
      <c r="H2" t="s">
        <v>118</v>
      </c>
      <c r="I2" t="s">
        <v>119</v>
      </c>
      <c r="J2" s="1" t="s">
        <v>58</v>
      </c>
      <c r="K2" s="1" t="s">
        <v>140</v>
      </c>
      <c r="L2" t="s">
        <v>120</v>
      </c>
    </row>
    <row r="3" spans="1:13" x14ac:dyDescent="0.2">
      <c r="A3" t="s">
        <v>0</v>
      </c>
      <c r="B3">
        <v>5</v>
      </c>
      <c r="C3">
        <f>B3*C2</f>
        <v>60</v>
      </c>
      <c r="J3" t="s">
        <v>59</v>
      </c>
      <c r="K3" t="s">
        <v>141</v>
      </c>
    </row>
    <row r="4" spans="1:13" x14ac:dyDescent="0.2">
      <c r="A4" t="s">
        <v>1</v>
      </c>
      <c r="B4">
        <v>1.5</v>
      </c>
      <c r="C4">
        <f>B4*C2</f>
        <v>18</v>
      </c>
      <c r="J4" t="s">
        <v>137</v>
      </c>
      <c r="K4" t="s">
        <v>142</v>
      </c>
    </row>
    <row r="5" spans="1:13" x14ac:dyDescent="0.2">
      <c r="A5" t="s">
        <v>2</v>
      </c>
      <c r="B5">
        <v>0.5</v>
      </c>
      <c r="C5">
        <f>B5*C2</f>
        <v>6</v>
      </c>
      <c r="J5" t="s">
        <v>49</v>
      </c>
    </row>
    <row r="6" spans="1:13" x14ac:dyDescent="0.2">
      <c r="A6" t="s">
        <v>20</v>
      </c>
      <c r="B6">
        <v>1</v>
      </c>
      <c r="C6">
        <f>B6*C2</f>
        <v>12</v>
      </c>
      <c r="J6" t="s">
        <v>138</v>
      </c>
    </row>
    <row r="7" spans="1:13" x14ac:dyDescent="0.2">
      <c r="A7" t="s">
        <v>21</v>
      </c>
      <c r="B7">
        <v>1</v>
      </c>
      <c r="C7">
        <f>B7*C2</f>
        <v>12</v>
      </c>
      <c r="J7" t="s">
        <v>56</v>
      </c>
    </row>
    <row r="8" spans="1:13" x14ac:dyDescent="0.2">
      <c r="A8" t="s">
        <v>6</v>
      </c>
      <c r="B8">
        <v>0.2</v>
      </c>
      <c r="C8">
        <f>B8*C2</f>
        <v>2.4000000000000004</v>
      </c>
      <c r="J8" t="s">
        <v>139</v>
      </c>
    </row>
    <row r="9" spans="1:13" x14ac:dyDescent="0.2">
      <c r="A9" t="s">
        <v>7</v>
      </c>
      <c r="B9">
        <v>14.8</v>
      </c>
      <c r="C9">
        <f>B9*C2</f>
        <v>177.60000000000002</v>
      </c>
    </row>
    <row r="10" spans="1:13" x14ac:dyDescent="0.2">
      <c r="A10" t="s">
        <v>8</v>
      </c>
      <c r="B10">
        <v>1</v>
      </c>
      <c r="C10">
        <f>B10*C2</f>
        <v>12</v>
      </c>
    </row>
    <row r="11" spans="1:13" x14ac:dyDescent="0.2">
      <c r="A11" t="s">
        <v>10</v>
      </c>
      <c r="B11">
        <v>25</v>
      </c>
      <c r="C11">
        <f>B11*C2</f>
        <v>300</v>
      </c>
    </row>
    <row r="15" spans="1:13" x14ac:dyDescent="0.2">
      <c r="A15" t="s">
        <v>22</v>
      </c>
    </row>
    <row r="16" spans="1:13" x14ac:dyDescent="0.2">
      <c r="B16" t="s">
        <v>9</v>
      </c>
      <c r="C16">
        <v>12</v>
      </c>
    </row>
    <row r="17" spans="1:3" x14ac:dyDescent="0.2">
      <c r="A17" t="s">
        <v>0</v>
      </c>
      <c r="B17">
        <v>5</v>
      </c>
      <c r="C17">
        <f>B17*C16</f>
        <v>60</v>
      </c>
    </row>
    <row r="18" spans="1:3" x14ac:dyDescent="0.2">
      <c r="A18" t="s">
        <v>1</v>
      </c>
      <c r="B18">
        <v>1.5</v>
      </c>
      <c r="C18">
        <f>B18*C16</f>
        <v>18</v>
      </c>
    </row>
    <row r="19" spans="1:3" x14ac:dyDescent="0.2">
      <c r="A19" t="s">
        <v>2</v>
      </c>
      <c r="B19">
        <v>0.5</v>
      </c>
      <c r="C19">
        <f>B19*C16</f>
        <v>6</v>
      </c>
    </row>
    <row r="20" spans="1:3" x14ac:dyDescent="0.2">
      <c r="A20" t="s">
        <v>20</v>
      </c>
      <c r="B20">
        <v>1</v>
      </c>
      <c r="C20">
        <f>B20*C16</f>
        <v>12</v>
      </c>
    </row>
    <row r="21" spans="1:3" x14ac:dyDescent="0.2">
      <c r="A21" t="s">
        <v>23</v>
      </c>
      <c r="B21">
        <v>1</v>
      </c>
      <c r="C21">
        <f>B21*C16</f>
        <v>12</v>
      </c>
    </row>
    <row r="22" spans="1:3" x14ac:dyDescent="0.2">
      <c r="A22" t="s">
        <v>6</v>
      </c>
      <c r="B22">
        <v>0.2</v>
      </c>
      <c r="C22">
        <f>B22*C16</f>
        <v>2.4000000000000004</v>
      </c>
    </row>
    <row r="23" spans="1:3" x14ac:dyDescent="0.2">
      <c r="A23" t="s">
        <v>7</v>
      </c>
      <c r="B23">
        <v>14.8</v>
      </c>
      <c r="C23">
        <f>B23*C16</f>
        <v>177.60000000000002</v>
      </c>
    </row>
    <row r="24" spans="1:3" x14ac:dyDescent="0.2">
      <c r="A24" t="s">
        <v>8</v>
      </c>
      <c r="B24">
        <v>1</v>
      </c>
      <c r="C24">
        <f>B24*C16</f>
        <v>12</v>
      </c>
    </row>
    <row r="25" spans="1:3" x14ac:dyDescent="0.2">
      <c r="A25" t="s">
        <v>10</v>
      </c>
      <c r="B25">
        <v>25</v>
      </c>
      <c r="C25">
        <f>B25*C16</f>
        <v>300</v>
      </c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1"/>
  <sheetViews>
    <sheetView topLeftCell="AW1" workbookViewId="0">
      <selection activeCell="A13" sqref="A13"/>
    </sheetView>
  </sheetViews>
  <sheetFormatPr baseColWidth="10" defaultRowHeight="15" x14ac:dyDescent="0.2"/>
  <sheetData>
    <row r="1" spans="1:3" x14ac:dyDescent="0.2">
      <c r="A1" t="s">
        <v>128</v>
      </c>
    </row>
    <row r="2" spans="1:3" x14ac:dyDescent="0.2">
      <c r="B2" t="s">
        <v>9</v>
      </c>
      <c r="C2">
        <v>40</v>
      </c>
    </row>
    <row r="3" spans="1:3" x14ac:dyDescent="0.2">
      <c r="A3" t="s">
        <v>0</v>
      </c>
      <c r="B3">
        <v>5</v>
      </c>
      <c r="C3">
        <f>B3*C2</f>
        <v>200</v>
      </c>
    </row>
    <row r="4" spans="1:3" x14ac:dyDescent="0.2">
      <c r="A4" t="s">
        <v>1</v>
      </c>
      <c r="B4">
        <v>1.5</v>
      </c>
      <c r="C4">
        <f>B4*C2</f>
        <v>60</v>
      </c>
    </row>
    <row r="5" spans="1:3" x14ac:dyDescent="0.2">
      <c r="A5" t="s">
        <v>2</v>
      </c>
      <c r="B5">
        <v>0.5</v>
      </c>
      <c r="C5">
        <f>B5*C2</f>
        <v>20</v>
      </c>
    </row>
    <row r="6" spans="1:3" x14ac:dyDescent="0.2">
      <c r="A6" t="s">
        <v>4</v>
      </c>
      <c r="B6">
        <v>1.25</v>
      </c>
      <c r="C6">
        <f>B6*C2</f>
        <v>50</v>
      </c>
    </row>
    <row r="7" spans="1:3" x14ac:dyDescent="0.2">
      <c r="A7" t="s">
        <v>5</v>
      </c>
      <c r="B7">
        <v>1.25</v>
      </c>
      <c r="C7">
        <f>B7*C2</f>
        <v>50</v>
      </c>
    </row>
    <row r="8" spans="1:3" x14ac:dyDescent="0.2">
      <c r="A8" t="s">
        <v>6</v>
      </c>
      <c r="B8">
        <v>0.3</v>
      </c>
      <c r="C8">
        <f>B8*C2</f>
        <v>12</v>
      </c>
    </row>
    <row r="9" spans="1:3" x14ac:dyDescent="0.2">
      <c r="A9" t="s">
        <v>7</v>
      </c>
      <c r="B9">
        <v>13.95</v>
      </c>
      <c r="C9">
        <f>B9*C2</f>
        <v>558</v>
      </c>
    </row>
    <row r="10" spans="1:3" x14ac:dyDescent="0.2">
      <c r="A10" t="s">
        <v>8</v>
      </c>
      <c r="B10">
        <v>1.25</v>
      </c>
      <c r="C10">
        <f>B10*C2</f>
        <v>50</v>
      </c>
    </row>
    <row r="11" spans="1:3" x14ac:dyDescent="0.2">
      <c r="A11" t="s">
        <v>10</v>
      </c>
      <c r="B11">
        <f>SUM(B3:B10)</f>
        <v>25</v>
      </c>
      <c r="C11">
        <f>SUM(C3:C10)</f>
        <v>1000</v>
      </c>
    </row>
  </sheetData>
  <phoneticPr fontId="6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view="pageLayout" workbookViewId="0">
      <selection activeCell="C11" sqref="A1:C11"/>
    </sheetView>
  </sheetViews>
  <sheetFormatPr baseColWidth="10" defaultRowHeight="15" x14ac:dyDescent="0.2"/>
  <sheetData>
    <row r="1" spans="1:3" x14ac:dyDescent="0.2">
      <c r="A1" t="s">
        <v>129</v>
      </c>
    </row>
    <row r="2" spans="1:3" x14ac:dyDescent="0.2">
      <c r="B2" t="s">
        <v>9</v>
      </c>
      <c r="C2">
        <v>40</v>
      </c>
    </row>
    <row r="3" spans="1:3" x14ac:dyDescent="0.2">
      <c r="A3" t="s">
        <v>0</v>
      </c>
      <c r="B3">
        <v>5</v>
      </c>
      <c r="C3">
        <f>B3*C2</f>
        <v>200</v>
      </c>
    </row>
    <row r="4" spans="1:3" x14ac:dyDescent="0.2">
      <c r="A4" t="s">
        <v>1</v>
      </c>
      <c r="B4">
        <v>2</v>
      </c>
      <c r="C4">
        <f>B4*C2</f>
        <v>80</v>
      </c>
    </row>
    <row r="5" spans="1:3" x14ac:dyDescent="0.2">
      <c r="A5" t="s">
        <v>2</v>
      </c>
      <c r="B5">
        <v>0.5</v>
      </c>
      <c r="C5">
        <f>B5*C2</f>
        <v>20</v>
      </c>
    </row>
    <row r="6" spans="1:3" x14ac:dyDescent="0.2">
      <c r="A6" t="s">
        <v>4</v>
      </c>
      <c r="B6">
        <v>2</v>
      </c>
      <c r="C6">
        <f>B6*C2</f>
        <v>80</v>
      </c>
    </row>
    <row r="7" spans="1:3" x14ac:dyDescent="0.2">
      <c r="A7" t="s">
        <v>5</v>
      </c>
      <c r="B7">
        <v>2</v>
      </c>
      <c r="C7">
        <f>B7*C2</f>
        <v>80</v>
      </c>
    </row>
    <row r="8" spans="1:3" x14ac:dyDescent="0.2">
      <c r="A8" t="s">
        <v>6</v>
      </c>
      <c r="B8">
        <v>0.3</v>
      </c>
      <c r="C8">
        <f>B8*C2</f>
        <v>12</v>
      </c>
    </row>
    <row r="9" spans="1:3" x14ac:dyDescent="0.2">
      <c r="A9" t="s">
        <v>7</v>
      </c>
      <c r="B9">
        <v>11.95</v>
      </c>
      <c r="C9">
        <f>B9*C2</f>
        <v>478</v>
      </c>
    </row>
    <row r="10" spans="1:3" x14ac:dyDescent="0.2">
      <c r="A10" t="s">
        <v>8</v>
      </c>
      <c r="B10">
        <v>1.25</v>
      </c>
      <c r="C10">
        <f>B10*C2</f>
        <v>50</v>
      </c>
    </row>
    <row r="11" spans="1:3" x14ac:dyDescent="0.2">
      <c r="A11" t="s">
        <v>10</v>
      </c>
      <c r="B11">
        <f>SUM(B3:B10)</f>
        <v>25</v>
      </c>
      <c r="C11">
        <f>SUM(C3:C10)</f>
        <v>1000</v>
      </c>
    </row>
  </sheetData>
  <phoneticPr fontId="6" type="noConversion"/>
  <pageMargins left="0.75" right="0.75" top="1" bottom="1" header="0.5" footer="0.5"/>
  <pageSetup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1"/>
  <sheetViews>
    <sheetView topLeftCell="A16" workbookViewId="0">
      <selection activeCell="J46" sqref="J46"/>
    </sheetView>
  </sheetViews>
  <sheetFormatPr baseColWidth="10" defaultColWidth="8.83203125" defaultRowHeight="15" x14ac:dyDescent="0.2"/>
  <cols>
    <col min="1" max="1" width="12.83203125" customWidth="1"/>
    <col min="10" max="10" width="34.83203125" customWidth="1"/>
    <col min="11" max="11" width="39.1640625" customWidth="1"/>
    <col min="12" max="12" width="18.83203125" customWidth="1"/>
  </cols>
  <sheetData>
    <row r="1" spans="1:12" x14ac:dyDescent="0.2">
      <c r="A1" t="s">
        <v>148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6" x14ac:dyDescent="0.2">
      <c r="B2" t="s">
        <v>9</v>
      </c>
      <c r="C2">
        <v>20</v>
      </c>
      <c r="H2" t="s">
        <v>43</v>
      </c>
      <c r="I2" t="s">
        <v>168</v>
      </c>
      <c r="J2" s="1" t="s">
        <v>58</v>
      </c>
      <c r="K2" s="1" t="s">
        <v>151</v>
      </c>
      <c r="L2" t="s">
        <v>195</v>
      </c>
    </row>
    <row r="3" spans="1:12" x14ac:dyDescent="0.2">
      <c r="A3" t="s">
        <v>155</v>
      </c>
      <c r="B3">
        <v>4</v>
      </c>
      <c r="C3">
        <f>B3*C2</f>
        <v>80</v>
      </c>
      <c r="J3" t="s">
        <v>36</v>
      </c>
      <c r="K3" t="s">
        <v>152</v>
      </c>
    </row>
    <row r="4" spans="1:12" x14ac:dyDescent="0.2">
      <c r="A4" t="s">
        <v>1</v>
      </c>
      <c r="B4">
        <v>0.6</v>
      </c>
      <c r="C4">
        <f>B4*C2</f>
        <v>12</v>
      </c>
      <c r="J4" t="s">
        <v>60</v>
      </c>
    </row>
    <row r="5" spans="1:12" x14ac:dyDescent="0.2">
      <c r="A5" t="s">
        <v>2</v>
      </c>
      <c r="B5">
        <v>0.2</v>
      </c>
      <c r="C5">
        <f>B5*C2</f>
        <v>4</v>
      </c>
      <c r="J5" t="s">
        <v>38</v>
      </c>
    </row>
    <row r="6" spans="1:12" x14ac:dyDescent="0.2">
      <c r="A6" t="s">
        <v>4</v>
      </c>
      <c r="B6">
        <v>0.4</v>
      </c>
      <c r="C6">
        <f>B6*C2</f>
        <v>8</v>
      </c>
      <c r="J6" t="s">
        <v>39</v>
      </c>
    </row>
    <row r="7" spans="1:12" x14ac:dyDescent="0.2">
      <c r="A7" t="s">
        <v>5</v>
      </c>
      <c r="B7">
        <v>0.4</v>
      </c>
      <c r="C7">
        <f>B7*C2</f>
        <v>8</v>
      </c>
      <c r="J7" t="s">
        <v>56</v>
      </c>
    </row>
    <row r="8" spans="1:12" x14ac:dyDescent="0.2">
      <c r="A8" t="s">
        <v>6</v>
      </c>
      <c r="B8">
        <v>0.2</v>
      </c>
      <c r="C8">
        <f>B8*C2</f>
        <v>4</v>
      </c>
    </row>
    <row r="9" spans="1:12" x14ac:dyDescent="0.2">
      <c r="A9" t="s">
        <v>7</v>
      </c>
      <c r="B9">
        <v>15.2</v>
      </c>
      <c r="C9">
        <f>B9*C2</f>
        <v>304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v>20</v>
      </c>
      <c r="C11">
        <f>B11*C2</f>
        <v>400</v>
      </c>
    </row>
    <row r="15" spans="1:12" x14ac:dyDescent="0.2">
      <c r="A15" t="s">
        <v>149</v>
      </c>
    </row>
    <row r="16" spans="1:12" x14ac:dyDescent="0.2">
      <c r="B16" t="s">
        <v>9</v>
      </c>
      <c r="C16">
        <v>20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</row>
    <row r="17" spans="1:12" ht="16" x14ac:dyDescent="0.2">
      <c r="A17" t="s">
        <v>155</v>
      </c>
      <c r="B17">
        <v>4</v>
      </c>
      <c r="C17">
        <f>B17*C16</f>
        <v>80</v>
      </c>
      <c r="H17" t="s">
        <v>43</v>
      </c>
      <c r="I17" t="s">
        <v>168</v>
      </c>
      <c r="J17" s="1" t="s">
        <v>58</v>
      </c>
      <c r="K17" s="1" t="s">
        <v>153</v>
      </c>
      <c r="L17" t="s">
        <v>158</v>
      </c>
    </row>
    <row r="18" spans="1:12" x14ac:dyDescent="0.2">
      <c r="A18" t="s">
        <v>1</v>
      </c>
      <c r="B18">
        <v>0.6</v>
      </c>
      <c r="C18">
        <f>B18*C16</f>
        <v>12</v>
      </c>
      <c r="J18" t="s">
        <v>36</v>
      </c>
      <c r="K18" t="s">
        <v>154</v>
      </c>
    </row>
    <row r="19" spans="1:12" x14ac:dyDescent="0.2">
      <c r="A19" t="s">
        <v>2</v>
      </c>
      <c r="B19">
        <v>0.2</v>
      </c>
      <c r="C19">
        <f>B19*C16</f>
        <v>4</v>
      </c>
      <c r="J19" t="s">
        <v>60</v>
      </c>
    </row>
    <row r="20" spans="1:12" x14ac:dyDescent="0.2">
      <c r="A20" t="s">
        <v>4</v>
      </c>
      <c r="B20">
        <v>0.4</v>
      </c>
      <c r="C20">
        <f>B20*C16</f>
        <v>8</v>
      </c>
      <c r="J20" t="s">
        <v>38</v>
      </c>
    </row>
    <row r="21" spans="1:12" x14ac:dyDescent="0.2">
      <c r="A21" t="s">
        <v>5</v>
      </c>
      <c r="B21">
        <v>0.4</v>
      </c>
      <c r="C21">
        <f>B21*C16</f>
        <v>8</v>
      </c>
      <c r="J21" t="s">
        <v>39</v>
      </c>
    </row>
    <row r="22" spans="1:12" x14ac:dyDescent="0.2">
      <c r="A22" t="s">
        <v>6</v>
      </c>
      <c r="B22">
        <v>0.2</v>
      </c>
      <c r="C22">
        <f>B22*C16</f>
        <v>4</v>
      </c>
      <c r="J22" t="s">
        <v>56</v>
      </c>
    </row>
    <row r="23" spans="1:12" x14ac:dyDescent="0.2">
      <c r="A23" t="s">
        <v>7</v>
      </c>
      <c r="B23">
        <v>15.2</v>
      </c>
      <c r="C23">
        <f>B23*C16</f>
        <v>304</v>
      </c>
    </row>
    <row r="24" spans="1:12" x14ac:dyDescent="0.2">
      <c r="A24" t="s">
        <v>8</v>
      </c>
      <c r="B24">
        <v>1</v>
      </c>
      <c r="C24">
        <f>B24*C16</f>
        <v>20</v>
      </c>
    </row>
    <row r="25" spans="1:12" x14ac:dyDescent="0.2">
      <c r="A25" t="s">
        <v>10</v>
      </c>
      <c r="B25">
        <v>20</v>
      </c>
      <c r="C25">
        <f>B25*C16</f>
        <v>400</v>
      </c>
    </row>
    <row r="26" spans="1:12" x14ac:dyDescent="0.2">
      <c r="B26">
        <v>25</v>
      </c>
      <c r="C26">
        <f>B26*C16</f>
        <v>500</v>
      </c>
    </row>
    <row r="29" spans="1:12" x14ac:dyDescent="0.2">
      <c r="A29" t="s">
        <v>145</v>
      </c>
    </row>
    <row r="30" spans="1:12" x14ac:dyDescent="0.2">
      <c r="B30" t="s">
        <v>9</v>
      </c>
      <c r="C30">
        <v>20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</row>
    <row r="31" spans="1:12" ht="16" x14ac:dyDescent="0.2">
      <c r="A31" t="s">
        <v>155</v>
      </c>
      <c r="B31">
        <v>2</v>
      </c>
      <c r="C31">
        <f>B31*C30</f>
        <v>40</v>
      </c>
      <c r="H31" t="s">
        <v>43</v>
      </c>
      <c r="I31" t="s">
        <v>145</v>
      </c>
      <c r="J31" s="1" t="s">
        <v>58</v>
      </c>
      <c r="K31" s="1" t="s">
        <v>169</v>
      </c>
      <c r="L31" t="s">
        <v>159</v>
      </c>
    </row>
    <row r="32" spans="1:12" x14ac:dyDescent="0.2">
      <c r="A32" t="s">
        <v>1</v>
      </c>
      <c r="B32">
        <v>2</v>
      </c>
      <c r="C32">
        <f>B32*C30</f>
        <v>40</v>
      </c>
      <c r="J32" t="s">
        <v>36</v>
      </c>
      <c r="K32" t="s">
        <v>147</v>
      </c>
    </row>
    <row r="33" spans="1:10" x14ac:dyDescent="0.2">
      <c r="A33" t="s">
        <v>2</v>
      </c>
      <c r="B33">
        <v>0.2</v>
      </c>
      <c r="C33">
        <f>B33*C30</f>
        <v>4</v>
      </c>
      <c r="J33" t="s">
        <v>150</v>
      </c>
    </row>
    <row r="34" spans="1:10" x14ac:dyDescent="0.2">
      <c r="A34" t="s">
        <v>4</v>
      </c>
      <c r="B34">
        <v>0.4</v>
      </c>
      <c r="C34">
        <f>B34*C30</f>
        <v>8</v>
      </c>
      <c r="J34" t="s">
        <v>55</v>
      </c>
    </row>
    <row r="35" spans="1:10" x14ac:dyDescent="0.2">
      <c r="A35" t="s">
        <v>5</v>
      </c>
      <c r="B35">
        <v>0.4</v>
      </c>
      <c r="C35">
        <f>B35*C30</f>
        <v>8</v>
      </c>
      <c r="J35" t="s">
        <v>39</v>
      </c>
    </row>
    <row r="36" spans="1:10" x14ac:dyDescent="0.2">
      <c r="A36" t="s">
        <v>156</v>
      </c>
      <c r="B36">
        <v>0.2</v>
      </c>
      <c r="C36">
        <f>B36*C30</f>
        <v>4</v>
      </c>
      <c r="J36" t="s">
        <v>56</v>
      </c>
    </row>
    <row r="37" spans="1:10" x14ac:dyDescent="0.2">
      <c r="A37" t="s">
        <v>7</v>
      </c>
      <c r="B37">
        <v>13.8</v>
      </c>
      <c r="C37">
        <f>B37*C30</f>
        <v>276</v>
      </c>
    </row>
    <row r="38" spans="1:10" x14ac:dyDescent="0.2">
      <c r="A38" t="s">
        <v>8</v>
      </c>
      <c r="B38">
        <v>1</v>
      </c>
      <c r="C38">
        <f>B38*C30</f>
        <v>20</v>
      </c>
    </row>
    <row r="39" spans="1:10" x14ac:dyDescent="0.2">
      <c r="A39" t="s">
        <v>10</v>
      </c>
      <c r="B39">
        <v>20</v>
      </c>
      <c r="C39">
        <f>B39*C30</f>
        <v>400</v>
      </c>
    </row>
    <row r="41" spans="1:10" x14ac:dyDescent="0.2">
      <c r="A41" t="s">
        <v>157</v>
      </c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68"/>
  <sheetViews>
    <sheetView topLeftCell="A27" workbookViewId="0">
      <selection activeCell="B60" sqref="B60"/>
    </sheetView>
  </sheetViews>
  <sheetFormatPr baseColWidth="10" defaultColWidth="8.83203125" defaultRowHeight="15" x14ac:dyDescent="0.2"/>
  <cols>
    <col min="1" max="1" width="12.33203125" customWidth="1"/>
    <col min="10" max="10" width="34.83203125" customWidth="1"/>
    <col min="11" max="11" width="39.1640625" customWidth="1"/>
    <col min="12" max="12" width="18.83203125" customWidth="1"/>
  </cols>
  <sheetData>
    <row r="1" spans="1:12" x14ac:dyDescent="0.2">
      <c r="A1" t="s">
        <v>148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6" x14ac:dyDescent="0.2">
      <c r="B2" t="s">
        <v>9</v>
      </c>
      <c r="C2">
        <v>20</v>
      </c>
      <c r="H2" t="s">
        <v>43</v>
      </c>
      <c r="I2" t="s">
        <v>168</v>
      </c>
      <c r="J2" s="1" t="s">
        <v>58</v>
      </c>
      <c r="K2" s="1" t="s">
        <v>151</v>
      </c>
      <c r="L2" t="s">
        <v>195</v>
      </c>
    </row>
    <row r="3" spans="1:12" x14ac:dyDescent="0.2">
      <c r="A3" t="s">
        <v>155</v>
      </c>
      <c r="B3">
        <v>2</v>
      </c>
      <c r="C3">
        <f>B3*C2</f>
        <v>40</v>
      </c>
      <c r="J3" t="s">
        <v>36</v>
      </c>
      <c r="K3" t="s">
        <v>152</v>
      </c>
    </row>
    <row r="4" spans="1:12" x14ac:dyDescent="0.2">
      <c r="A4" t="s">
        <v>1</v>
      </c>
      <c r="B4">
        <v>0.6</v>
      </c>
      <c r="C4">
        <f>B4*C2</f>
        <v>12</v>
      </c>
      <c r="J4" t="s">
        <v>60</v>
      </c>
    </row>
    <row r="5" spans="1:12" x14ac:dyDescent="0.2">
      <c r="A5" t="s">
        <v>2</v>
      </c>
      <c r="B5">
        <v>0.2</v>
      </c>
      <c r="C5">
        <f>B5*C2</f>
        <v>4</v>
      </c>
      <c r="J5" t="s">
        <v>38</v>
      </c>
    </row>
    <row r="6" spans="1:12" x14ac:dyDescent="0.2">
      <c r="A6" t="s">
        <v>4</v>
      </c>
      <c r="B6">
        <v>0.4</v>
      </c>
      <c r="C6">
        <f>B6*C2</f>
        <v>8</v>
      </c>
      <c r="J6" t="s">
        <v>39</v>
      </c>
    </row>
    <row r="7" spans="1:12" x14ac:dyDescent="0.2">
      <c r="A7" t="s">
        <v>5</v>
      </c>
      <c r="B7">
        <v>0.4</v>
      </c>
      <c r="C7">
        <f>B7*C2</f>
        <v>8</v>
      </c>
      <c r="J7" t="s">
        <v>56</v>
      </c>
    </row>
    <row r="8" spans="1:12" x14ac:dyDescent="0.2">
      <c r="A8" t="s">
        <v>6</v>
      </c>
      <c r="B8">
        <v>0.2</v>
      </c>
      <c r="C8">
        <f>B8*C2</f>
        <v>4</v>
      </c>
    </row>
    <row r="9" spans="1:12" x14ac:dyDescent="0.2">
      <c r="A9" t="s">
        <v>7</v>
      </c>
      <c r="B9">
        <v>15.2</v>
      </c>
      <c r="C9">
        <f>B9*C2</f>
        <v>304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v>20</v>
      </c>
      <c r="C11">
        <f>B11*C2</f>
        <v>400</v>
      </c>
    </row>
    <row r="15" spans="1:12" x14ac:dyDescent="0.2">
      <c r="A15" t="s">
        <v>149</v>
      </c>
    </row>
    <row r="16" spans="1:12" x14ac:dyDescent="0.2">
      <c r="B16" t="s">
        <v>9</v>
      </c>
      <c r="C16">
        <v>20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</row>
    <row r="17" spans="1:12" ht="16" x14ac:dyDescent="0.2">
      <c r="A17" t="s">
        <v>155</v>
      </c>
      <c r="B17">
        <v>2</v>
      </c>
      <c r="C17">
        <f>B17*C16</f>
        <v>40</v>
      </c>
      <c r="H17" t="s">
        <v>43</v>
      </c>
      <c r="I17" t="s">
        <v>168</v>
      </c>
      <c r="J17" s="1" t="s">
        <v>58</v>
      </c>
      <c r="K17" s="1" t="s">
        <v>153</v>
      </c>
      <c r="L17" t="s">
        <v>158</v>
      </c>
    </row>
    <row r="18" spans="1:12" x14ac:dyDescent="0.2">
      <c r="A18" t="s">
        <v>1</v>
      </c>
      <c r="B18">
        <v>0.6</v>
      </c>
      <c r="C18">
        <f>B18*C16</f>
        <v>12</v>
      </c>
      <c r="J18" t="s">
        <v>36</v>
      </c>
      <c r="K18" t="s">
        <v>154</v>
      </c>
    </row>
    <row r="19" spans="1:12" x14ac:dyDescent="0.2">
      <c r="A19" t="s">
        <v>2</v>
      </c>
      <c r="B19">
        <v>0.2</v>
      </c>
      <c r="C19">
        <f>B19*C16</f>
        <v>4</v>
      </c>
      <c r="J19" t="s">
        <v>60</v>
      </c>
    </row>
    <row r="20" spans="1:12" x14ac:dyDescent="0.2">
      <c r="A20" t="s">
        <v>4</v>
      </c>
      <c r="B20">
        <v>0.4</v>
      </c>
      <c r="C20">
        <f>B20*C16</f>
        <v>8</v>
      </c>
      <c r="J20" t="s">
        <v>38</v>
      </c>
    </row>
    <row r="21" spans="1:12" x14ac:dyDescent="0.2">
      <c r="A21" t="s">
        <v>5</v>
      </c>
      <c r="B21">
        <v>0.4</v>
      </c>
      <c r="C21">
        <f>B21*C16</f>
        <v>8</v>
      </c>
      <c r="J21" t="s">
        <v>39</v>
      </c>
    </row>
    <row r="22" spans="1:12" x14ac:dyDescent="0.2">
      <c r="A22" t="s">
        <v>6</v>
      </c>
      <c r="B22">
        <v>0.2</v>
      </c>
      <c r="C22">
        <f>B22*C16</f>
        <v>4</v>
      </c>
      <c r="J22" t="s">
        <v>56</v>
      </c>
    </row>
    <row r="23" spans="1:12" x14ac:dyDescent="0.2">
      <c r="A23" t="s">
        <v>7</v>
      </c>
      <c r="B23">
        <v>15.2</v>
      </c>
      <c r="C23">
        <f>B23*C16</f>
        <v>304</v>
      </c>
    </row>
    <row r="24" spans="1:12" x14ac:dyDescent="0.2">
      <c r="A24" t="s">
        <v>8</v>
      </c>
      <c r="B24">
        <v>1</v>
      </c>
      <c r="C24">
        <f>B24*C16</f>
        <v>20</v>
      </c>
    </row>
    <row r="25" spans="1:12" x14ac:dyDescent="0.2">
      <c r="A25" t="s">
        <v>10</v>
      </c>
      <c r="B25">
        <v>20</v>
      </c>
      <c r="C25">
        <f>B25*C16</f>
        <v>400</v>
      </c>
    </row>
    <row r="26" spans="1:12" x14ac:dyDescent="0.2">
      <c r="B26">
        <v>25</v>
      </c>
      <c r="C26">
        <f>B26*C16</f>
        <v>500</v>
      </c>
    </row>
    <row r="29" spans="1:12" x14ac:dyDescent="0.2">
      <c r="A29" t="s">
        <v>145</v>
      </c>
    </row>
    <row r="30" spans="1:12" x14ac:dyDescent="0.2">
      <c r="B30" t="s">
        <v>9</v>
      </c>
      <c r="C30">
        <v>20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</row>
    <row r="31" spans="1:12" ht="16" x14ac:dyDescent="0.2">
      <c r="A31" t="s">
        <v>155</v>
      </c>
      <c r="B31">
        <v>2</v>
      </c>
      <c r="C31">
        <f>B31*C30</f>
        <v>40</v>
      </c>
      <c r="H31" t="s">
        <v>43</v>
      </c>
      <c r="I31" t="s">
        <v>145</v>
      </c>
      <c r="J31" s="1" t="s">
        <v>58</v>
      </c>
      <c r="K31" s="1" t="s">
        <v>169</v>
      </c>
      <c r="L31" t="s">
        <v>159</v>
      </c>
    </row>
    <row r="32" spans="1:12" x14ac:dyDescent="0.2">
      <c r="A32" t="s">
        <v>1</v>
      </c>
      <c r="B32">
        <v>2</v>
      </c>
      <c r="C32">
        <f>B32*C30</f>
        <v>40</v>
      </c>
      <c r="J32" t="s">
        <v>36</v>
      </c>
      <c r="K32" t="s">
        <v>147</v>
      </c>
    </row>
    <row r="33" spans="1:12" x14ac:dyDescent="0.2">
      <c r="A33" t="s">
        <v>2</v>
      </c>
      <c r="B33">
        <v>0.2</v>
      </c>
      <c r="C33">
        <f>B33*C30</f>
        <v>4</v>
      </c>
      <c r="J33" t="s">
        <v>150</v>
      </c>
    </row>
    <row r="34" spans="1:12" x14ac:dyDescent="0.2">
      <c r="A34" t="s">
        <v>4</v>
      </c>
      <c r="B34">
        <v>0.4</v>
      </c>
      <c r="C34">
        <f>B34*C30</f>
        <v>8</v>
      </c>
      <c r="J34" t="s">
        <v>55</v>
      </c>
    </row>
    <row r="35" spans="1:12" x14ac:dyDescent="0.2">
      <c r="A35" t="s">
        <v>5</v>
      </c>
      <c r="B35">
        <v>0.4</v>
      </c>
      <c r="C35">
        <f>B35*C30</f>
        <v>8</v>
      </c>
      <c r="J35" t="s">
        <v>39</v>
      </c>
    </row>
    <row r="36" spans="1:12" x14ac:dyDescent="0.2">
      <c r="A36" t="s">
        <v>156</v>
      </c>
      <c r="B36">
        <v>0.2</v>
      </c>
      <c r="C36">
        <f>B36*C30</f>
        <v>4</v>
      </c>
      <c r="J36" t="s">
        <v>56</v>
      </c>
    </row>
    <row r="37" spans="1:12" x14ac:dyDescent="0.2">
      <c r="A37" t="s">
        <v>7</v>
      </c>
      <c r="B37">
        <v>13.8</v>
      </c>
      <c r="C37">
        <f>B37*C30</f>
        <v>276</v>
      </c>
    </row>
    <row r="38" spans="1:12" x14ac:dyDescent="0.2">
      <c r="A38" t="s">
        <v>8</v>
      </c>
      <c r="B38">
        <v>1</v>
      </c>
      <c r="C38">
        <f>B38*C30</f>
        <v>20</v>
      </c>
    </row>
    <row r="39" spans="1:12" x14ac:dyDescent="0.2">
      <c r="A39" t="s">
        <v>10</v>
      </c>
      <c r="B39">
        <v>20</v>
      </c>
      <c r="C39">
        <f>B39*C30</f>
        <v>400</v>
      </c>
    </row>
    <row r="41" spans="1:12" x14ac:dyDescent="0.2">
      <c r="A41" t="s">
        <v>157</v>
      </c>
    </row>
    <row r="43" spans="1:12" x14ac:dyDescent="0.2">
      <c r="A43" t="s">
        <v>160</v>
      </c>
    </row>
    <row r="44" spans="1:12" x14ac:dyDescent="0.2">
      <c r="B44" t="s">
        <v>9</v>
      </c>
      <c r="C44">
        <v>20</v>
      </c>
      <c r="H44" t="s">
        <v>29</v>
      </c>
      <c r="I44" t="s">
        <v>30</v>
      </c>
      <c r="J44" t="s">
        <v>31</v>
      </c>
      <c r="K44" t="s">
        <v>32</v>
      </c>
      <c r="L44" t="s">
        <v>33</v>
      </c>
    </row>
    <row r="45" spans="1:12" ht="16" x14ac:dyDescent="0.2">
      <c r="A45" t="s">
        <v>155</v>
      </c>
      <c r="B45">
        <v>2</v>
      </c>
      <c r="C45">
        <f>B45*C44</f>
        <v>40</v>
      </c>
      <c r="H45" t="s">
        <v>43</v>
      </c>
      <c r="I45" t="s">
        <v>168</v>
      </c>
      <c r="J45" s="1" t="s">
        <v>58</v>
      </c>
      <c r="K45" s="1" t="s">
        <v>164</v>
      </c>
      <c r="L45" t="s">
        <v>163</v>
      </c>
    </row>
    <row r="46" spans="1:12" x14ac:dyDescent="0.2">
      <c r="A46" t="s">
        <v>1</v>
      </c>
      <c r="B46">
        <v>0.6</v>
      </c>
      <c r="C46">
        <f>B46*C44</f>
        <v>12</v>
      </c>
      <c r="J46" t="s">
        <v>36</v>
      </c>
      <c r="K46" t="s">
        <v>165</v>
      </c>
    </row>
    <row r="47" spans="1:12" x14ac:dyDescent="0.2">
      <c r="A47" t="s">
        <v>2</v>
      </c>
      <c r="B47">
        <v>0.2</v>
      </c>
      <c r="C47">
        <f>B47*C44</f>
        <v>4</v>
      </c>
      <c r="J47" t="s">
        <v>60</v>
      </c>
    </row>
    <row r="48" spans="1:12" x14ac:dyDescent="0.2">
      <c r="A48" t="s">
        <v>4</v>
      </c>
      <c r="B48">
        <v>0.4</v>
      </c>
      <c r="C48">
        <f>B48*C44</f>
        <v>8</v>
      </c>
      <c r="J48" t="s">
        <v>38</v>
      </c>
    </row>
    <row r="49" spans="1:12" x14ac:dyDescent="0.2">
      <c r="A49" t="s">
        <v>5</v>
      </c>
      <c r="B49">
        <v>0.4</v>
      </c>
      <c r="C49">
        <f>B49*C44</f>
        <v>8</v>
      </c>
      <c r="J49" t="s">
        <v>39</v>
      </c>
    </row>
    <row r="50" spans="1:12" x14ac:dyDescent="0.2">
      <c r="A50" t="s">
        <v>6</v>
      </c>
      <c r="B50">
        <v>0.2</v>
      </c>
      <c r="C50">
        <f>B50*C44</f>
        <v>4</v>
      </c>
      <c r="J50" t="s">
        <v>56</v>
      </c>
    </row>
    <row r="51" spans="1:12" x14ac:dyDescent="0.2">
      <c r="A51" t="s">
        <v>7</v>
      </c>
      <c r="B51">
        <v>15.2</v>
      </c>
      <c r="C51">
        <f>B51*C44</f>
        <v>304</v>
      </c>
    </row>
    <row r="52" spans="1:12" x14ac:dyDescent="0.2">
      <c r="A52" t="s">
        <v>8</v>
      </c>
      <c r="B52">
        <v>1</v>
      </c>
      <c r="C52">
        <f>B52*C44</f>
        <v>20</v>
      </c>
    </row>
    <row r="53" spans="1:12" x14ac:dyDescent="0.2">
      <c r="A53" t="s">
        <v>10</v>
      </c>
      <c r="B53">
        <v>20</v>
      </c>
      <c r="C53">
        <f>B53*C44</f>
        <v>400</v>
      </c>
    </row>
    <row r="54" spans="1:12" x14ac:dyDescent="0.2">
      <c r="B54">
        <v>25</v>
      </c>
      <c r="C54">
        <f>B54*C44</f>
        <v>500</v>
      </c>
    </row>
    <row r="57" spans="1:12" x14ac:dyDescent="0.2">
      <c r="A57" t="s">
        <v>161</v>
      </c>
    </row>
    <row r="58" spans="1:12" x14ac:dyDescent="0.2">
      <c r="B58" t="s">
        <v>9</v>
      </c>
      <c r="C58">
        <v>20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</row>
    <row r="59" spans="1:12" ht="16" x14ac:dyDescent="0.2">
      <c r="A59" t="s">
        <v>155</v>
      </c>
      <c r="B59">
        <v>2</v>
      </c>
      <c r="C59">
        <f>B59*C58</f>
        <v>40</v>
      </c>
      <c r="H59" t="s">
        <v>43</v>
      </c>
      <c r="I59" t="s">
        <v>168</v>
      </c>
      <c r="J59" s="1" t="s">
        <v>58</v>
      </c>
      <c r="K59" s="1" t="s">
        <v>166</v>
      </c>
      <c r="L59" t="s">
        <v>162</v>
      </c>
    </row>
    <row r="60" spans="1:12" x14ac:dyDescent="0.2">
      <c r="A60" t="s">
        <v>1</v>
      </c>
      <c r="B60">
        <v>0.6</v>
      </c>
      <c r="C60">
        <f>B60*C58</f>
        <v>12</v>
      </c>
      <c r="J60" t="s">
        <v>36</v>
      </c>
      <c r="K60" t="s">
        <v>167</v>
      </c>
    </row>
    <row r="61" spans="1:12" x14ac:dyDescent="0.2">
      <c r="A61" t="s">
        <v>2</v>
      </c>
      <c r="B61">
        <v>0.2</v>
      </c>
      <c r="C61">
        <f>B61*C58</f>
        <v>4</v>
      </c>
      <c r="J61" t="s">
        <v>60</v>
      </c>
    </row>
    <row r="62" spans="1:12" x14ac:dyDescent="0.2">
      <c r="A62" t="s">
        <v>4</v>
      </c>
      <c r="B62">
        <v>0.4</v>
      </c>
      <c r="C62">
        <f>B62*C58</f>
        <v>8</v>
      </c>
      <c r="J62" t="s">
        <v>38</v>
      </c>
    </row>
    <row r="63" spans="1:12" x14ac:dyDescent="0.2">
      <c r="A63" t="s">
        <v>5</v>
      </c>
      <c r="B63">
        <v>0.4</v>
      </c>
      <c r="C63">
        <f>B63*C58</f>
        <v>8</v>
      </c>
      <c r="J63" t="s">
        <v>39</v>
      </c>
    </row>
    <row r="64" spans="1:12" x14ac:dyDescent="0.2">
      <c r="A64" t="s">
        <v>6</v>
      </c>
      <c r="B64">
        <v>0.2</v>
      </c>
      <c r="C64">
        <f>B64*C58</f>
        <v>4</v>
      </c>
      <c r="J64" t="s">
        <v>56</v>
      </c>
    </row>
    <row r="65" spans="1:3" x14ac:dyDescent="0.2">
      <c r="A65" t="s">
        <v>7</v>
      </c>
      <c r="B65">
        <v>15.2</v>
      </c>
      <c r="C65">
        <f>B65*C58</f>
        <v>304</v>
      </c>
    </row>
    <row r="66" spans="1:3" x14ac:dyDescent="0.2">
      <c r="A66" t="s">
        <v>8</v>
      </c>
      <c r="B66">
        <v>1</v>
      </c>
      <c r="C66">
        <f>B66*C58</f>
        <v>20</v>
      </c>
    </row>
    <row r="67" spans="1:3" x14ac:dyDescent="0.2">
      <c r="A67" t="s">
        <v>10</v>
      </c>
      <c r="B67">
        <v>20</v>
      </c>
      <c r="C67">
        <f>B67*C58</f>
        <v>400</v>
      </c>
    </row>
    <row r="68" spans="1:3" x14ac:dyDescent="0.2">
      <c r="B68">
        <v>25</v>
      </c>
      <c r="C68">
        <f>B68*C58</f>
        <v>500</v>
      </c>
    </row>
  </sheetData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7"/>
  <sheetViews>
    <sheetView workbookViewId="0">
      <selection activeCell="G15" sqref="G15"/>
    </sheetView>
  </sheetViews>
  <sheetFormatPr baseColWidth="10" defaultRowHeight="15" x14ac:dyDescent="0.2"/>
  <sheetData>
    <row r="1" spans="1:1" x14ac:dyDescent="0.2">
      <c r="A1" t="s">
        <v>213</v>
      </c>
    </row>
    <row r="2" spans="1:1" x14ac:dyDescent="0.2">
      <c r="A2" t="s">
        <v>214</v>
      </c>
    </row>
    <row r="3" spans="1:1" x14ac:dyDescent="0.2">
      <c r="A3" t="s">
        <v>215</v>
      </c>
    </row>
    <row r="4" spans="1:1" x14ac:dyDescent="0.2">
      <c r="A4" t="s">
        <v>216</v>
      </c>
    </row>
    <row r="5" spans="1:1" x14ac:dyDescent="0.2">
      <c r="A5" t="s">
        <v>217</v>
      </c>
    </row>
    <row r="6" spans="1:1" x14ac:dyDescent="0.2">
      <c r="A6" t="s">
        <v>218</v>
      </c>
    </row>
    <row r="7" spans="1:1" x14ac:dyDescent="0.2">
      <c r="A7" t="s">
        <v>219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55"/>
  <sheetViews>
    <sheetView workbookViewId="0">
      <selection activeCell="K53" sqref="K53"/>
    </sheetView>
  </sheetViews>
  <sheetFormatPr baseColWidth="10" defaultColWidth="8.83203125" defaultRowHeight="15" x14ac:dyDescent="0.2"/>
  <cols>
    <col min="9" max="9" width="9.1640625" customWidth="1"/>
    <col min="10" max="10" width="38.5" customWidth="1"/>
    <col min="11" max="11" width="39.1640625" customWidth="1"/>
    <col min="12" max="12" width="18.83203125" customWidth="1"/>
  </cols>
  <sheetData>
    <row r="1" spans="1:12" x14ac:dyDescent="0.2">
      <c r="A1" t="s">
        <v>170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t="16" x14ac:dyDescent="0.2">
      <c r="B2" t="s">
        <v>9</v>
      </c>
      <c r="C2">
        <v>20</v>
      </c>
      <c r="H2" t="s">
        <v>43</v>
      </c>
      <c r="I2" t="s">
        <v>146</v>
      </c>
      <c r="J2" s="1" t="s">
        <v>58</v>
      </c>
      <c r="K2" s="1" t="s">
        <v>171</v>
      </c>
      <c r="L2" t="s">
        <v>173</v>
      </c>
    </row>
    <row r="3" spans="1:12" x14ac:dyDescent="0.2">
      <c r="A3" t="s">
        <v>0</v>
      </c>
      <c r="B3">
        <v>5</v>
      </c>
      <c r="C3">
        <f>B3*C2</f>
        <v>100</v>
      </c>
      <c r="J3" t="s">
        <v>67</v>
      </c>
      <c r="K3" t="s">
        <v>172</v>
      </c>
    </row>
    <row r="4" spans="1:12" x14ac:dyDescent="0.2">
      <c r="A4" t="s">
        <v>1</v>
      </c>
      <c r="B4">
        <v>1.7</v>
      </c>
      <c r="C4">
        <f>B4*C2</f>
        <v>34</v>
      </c>
      <c r="J4" t="s">
        <v>93</v>
      </c>
    </row>
    <row r="5" spans="1:12" x14ac:dyDescent="0.2">
      <c r="A5" t="s">
        <v>2</v>
      </c>
      <c r="B5">
        <v>0.5</v>
      </c>
      <c r="C5">
        <f>B5*C2</f>
        <v>10</v>
      </c>
      <c r="J5" t="s">
        <v>184</v>
      </c>
    </row>
    <row r="6" spans="1:12" x14ac:dyDescent="0.2">
      <c r="A6" t="s">
        <v>4</v>
      </c>
      <c r="B6">
        <v>0.5</v>
      </c>
      <c r="C6">
        <f>B6*C2</f>
        <v>10</v>
      </c>
      <c r="J6" t="s">
        <v>185</v>
      </c>
    </row>
    <row r="7" spans="1:12" x14ac:dyDescent="0.2">
      <c r="A7" t="s">
        <v>5</v>
      </c>
      <c r="B7">
        <v>0.5</v>
      </c>
      <c r="C7">
        <f>B7*C2</f>
        <v>10</v>
      </c>
      <c r="J7" t="s">
        <v>186</v>
      </c>
    </row>
    <row r="8" spans="1:12" x14ac:dyDescent="0.2">
      <c r="A8" t="s">
        <v>6</v>
      </c>
      <c r="B8">
        <v>0.25</v>
      </c>
      <c r="C8">
        <f>B8*C2</f>
        <v>5</v>
      </c>
      <c r="J8" t="s">
        <v>187</v>
      </c>
    </row>
    <row r="9" spans="1:12" x14ac:dyDescent="0.2">
      <c r="A9" t="s">
        <v>7</v>
      </c>
      <c r="B9">
        <v>15.6</v>
      </c>
      <c r="C9">
        <f>B9*C2</f>
        <v>312</v>
      </c>
      <c r="J9" t="s">
        <v>188</v>
      </c>
    </row>
    <row r="10" spans="1:12" x14ac:dyDescent="0.2">
      <c r="A10" t="s">
        <v>8</v>
      </c>
      <c r="B10">
        <v>1</v>
      </c>
      <c r="C10">
        <f>B10*C2</f>
        <v>20</v>
      </c>
      <c r="J10" t="s">
        <v>189</v>
      </c>
    </row>
    <row r="11" spans="1:12" x14ac:dyDescent="0.2">
      <c r="A11" t="s">
        <v>10</v>
      </c>
      <c r="B11">
        <v>25</v>
      </c>
      <c r="C11">
        <f>B11*C2</f>
        <v>500</v>
      </c>
      <c r="J11" t="s">
        <v>190</v>
      </c>
    </row>
    <row r="14" spans="1:12" x14ac:dyDescent="0.2">
      <c r="A14" t="s">
        <v>174</v>
      </c>
    </row>
    <row r="15" spans="1:12" x14ac:dyDescent="0.2">
      <c r="B15" t="s">
        <v>9</v>
      </c>
      <c r="C15">
        <v>20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</row>
    <row r="16" spans="1:12" ht="16" x14ac:dyDescent="0.2">
      <c r="A16" t="s">
        <v>0</v>
      </c>
      <c r="B16">
        <v>5</v>
      </c>
      <c r="C16">
        <f>B16*C15</f>
        <v>100</v>
      </c>
      <c r="H16" t="s">
        <v>43</v>
      </c>
      <c r="I16" t="s">
        <v>146</v>
      </c>
      <c r="J16" s="1" t="s">
        <v>58</v>
      </c>
      <c r="K16" s="1" t="s">
        <v>176</v>
      </c>
      <c r="L16" t="s">
        <v>159</v>
      </c>
    </row>
    <row r="17" spans="1:12" x14ac:dyDescent="0.2">
      <c r="A17" t="s">
        <v>1</v>
      </c>
      <c r="B17">
        <v>1.7</v>
      </c>
      <c r="C17">
        <f>B17*C15</f>
        <v>34</v>
      </c>
      <c r="J17" t="s">
        <v>67</v>
      </c>
      <c r="K17" t="s">
        <v>177</v>
      </c>
    </row>
    <row r="18" spans="1:12" x14ac:dyDescent="0.2">
      <c r="A18" t="s">
        <v>2</v>
      </c>
      <c r="B18">
        <v>0.5</v>
      </c>
      <c r="C18">
        <f>B18*C15</f>
        <v>10</v>
      </c>
      <c r="J18" t="s">
        <v>93</v>
      </c>
    </row>
    <row r="19" spans="1:12" x14ac:dyDescent="0.2">
      <c r="A19" t="s">
        <v>4</v>
      </c>
      <c r="B19">
        <v>0.5</v>
      </c>
      <c r="C19">
        <f>B19*C15</f>
        <v>10</v>
      </c>
      <c r="J19" t="s">
        <v>184</v>
      </c>
    </row>
    <row r="20" spans="1:12" x14ac:dyDescent="0.2">
      <c r="A20" t="s">
        <v>5</v>
      </c>
      <c r="B20">
        <v>0.5</v>
      </c>
      <c r="C20">
        <f>B20*C15</f>
        <v>10</v>
      </c>
      <c r="J20" t="s">
        <v>185</v>
      </c>
    </row>
    <row r="21" spans="1:12" x14ac:dyDescent="0.2">
      <c r="A21" t="s">
        <v>6</v>
      </c>
      <c r="B21">
        <v>0.25</v>
      </c>
      <c r="C21">
        <f>B21*C15</f>
        <v>5</v>
      </c>
      <c r="J21" t="s">
        <v>186</v>
      </c>
    </row>
    <row r="22" spans="1:12" x14ac:dyDescent="0.2">
      <c r="A22" t="s">
        <v>7</v>
      </c>
      <c r="B22">
        <v>15.6</v>
      </c>
      <c r="C22">
        <f>B22*C15</f>
        <v>312</v>
      </c>
      <c r="J22" t="s">
        <v>187</v>
      </c>
    </row>
    <row r="23" spans="1:12" x14ac:dyDescent="0.2">
      <c r="A23" t="s">
        <v>8</v>
      </c>
      <c r="B23">
        <v>1</v>
      </c>
      <c r="C23">
        <f>B23*C15</f>
        <v>20</v>
      </c>
      <c r="J23" t="s">
        <v>188</v>
      </c>
    </row>
    <row r="24" spans="1:12" x14ac:dyDescent="0.2">
      <c r="A24" t="s">
        <v>10</v>
      </c>
      <c r="B24">
        <v>25</v>
      </c>
      <c r="C24">
        <f>B24*C15</f>
        <v>500</v>
      </c>
      <c r="J24" t="s">
        <v>189</v>
      </c>
    </row>
    <row r="25" spans="1:12" x14ac:dyDescent="0.2">
      <c r="J25" t="s">
        <v>190</v>
      </c>
    </row>
    <row r="28" spans="1:12" x14ac:dyDescent="0.2">
      <c r="A28" t="s">
        <v>175</v>
      </c>
    </row>
    <row r="29" spans="1:12" x14ac:dyDescent="0.2">
      <c r="B29" t="s">
        <v>9</v>
      </c>
      <c r="C29">
        <v>20</v>
      </c>
      <c r="H29" t="s">
        <v>29</v>
      </c>
      <c r="I29" t="s">
        <v>30</v>
      </c>
      <c r="J29" t="s">
        <v>31</v>
      </c>
      <c r="K29" t="s">
        <v>32</v>
      </c>
      <c r="L29" t="s">
        <v>33</v>
      </c>
    </row>
    <row r="30" spans="1:12" ht="16" x14ac:dyDescent="0.2">
      <c r="A30" t="s">
        <v>0</v>
      </c>
      <c r="B30">
        <v>5</v>
      </c>
      <c r="C30">
        <f>B30*C29</f>
        <v>100</v>
      </c>
      <c r="H30" t="s">
        <v>43</v>
      </c>
      <c r="I30" t="s">
        <v>146</v>
      </c>
      <c r="J30" s="1" t="s">
        <v>58</v>
      </c>
      <c r="K30" s="1" t="s">
        <v>180</v>
      </c>
      <c r="L30" t="s">
        <v>179</v>
      </c>
    </row>
    <row r="31" spans="1:12" x14ac:dyDescent="0.2">
      <c r="A31" t="s">
        <v>1</v>
      </c>
      <c r="B31">
        <v>1.7</v>
      </c>
      <c r="C31">
        <f>B31*C29</f>
        <v>34</v>
      </c>
      <c r="J31" t="s">
        <v>67</v>
      </c>
      <c r="K31" t="s">
        <v>178</v>
      </c>
    </row>
    <row r="32" spans="1:12" x14ac:dyDescent="0.2">
      <c r="A32" t="s">
        <v>2</v>
      </c>
      <c r="B32">
        <v>0.5</v>
      </c>
      <c r="C32">
        <f>B32*C29</f>
        <v>10</v>
      </c>
      <c r="J32" t="s">
        <v>93</v>
      </c>
    </row>
    <row r="33" spans="1:12" x14ac:dyDescent="0.2">
      <c r="A33" t="s">
        <v>4</v>
      </c>
      <c r="B33">
        <v>0.5</v>
      </c>
      <c r="C33">
        <f>B33*C29</f>
        <v>10</v>
      </c>
      <c r="J33" t="s">
        <v>184</v>
      </c>
    </row>
    <row r="34" spans="1:12" x14ac:dyDescent="0.2">
      <c r="A34" t="s">
        <v>5</v>
      </c>
      <c r="B34">
        <v>0.5</v>
      </c>
      <c r="C34">
        <f>B34*C29</f>
        <v>10</v>
      </c>
      <c r="J34" t="s">
        <v>185</v>
      </c>
    </row>
    <row r="35" spans="1:12" x14ac:dyDescent="0.2">
      <c r="A35" t="s">
        <v>6</v>
      </c>
      <c r="B35">
        <v>0.25</v>
      </c>
      <c r="C35">
        <f>B35*C29</f>
        <v>5</v>
      </c>
      <c r="J35" t="s">
        <v>186</v>
      </c>
    </row>
    <row r="36" spans="1:12" x14ac:dyDescent="0.2">
      <c r="A36" t="s">
        <v>7</v>
      </c>
      <c r="B36">
        <v>15.6</v>
      </c>
      <c r="C36">
        <f>B36*C29</f>
        <v>312</v>
      </c>
      <c r="J36" t="s">
        <v>187</v>
      </c>
    </row>
    <row r="37" spans="1:12" x14ac:dyDescent="0.2">
      <c r="A37" t="s">
        <v>8</v>
      </c>
      <c r="B37">
        <v>1</v>
      </c>
      <c r="C37">
        <f>B37*C29</f>
        <v>20</v>
      </c>
      <c r="J37" t="s">
        <v>188</v>
      </c>
    </row>
    <row r="38" spans="1:12" x14ac:dyDescent="0.2">
      <c r="A38" t="s">
        <v>10</v>
      </c>
      <c r="B38">
        <v>25</v>
      </c>
      <c r="C38">
        <f>B38*C29</f>
        <v>500</v>
      </c>
      <c r="J38" t="s">
        <v>189</v>
      </c>
    </row>
    <row r="40" spans="1:12" x14ac:dyDescent="0.2">
      <c r="J40" t="s">
        <v>190</v>
      </c>
    </row>
    <row r="42" spans="1:12" x14ac:dyDescent="0.2">
      <c r="A42" t="s">
        <v>181</v>
      </c>
      <c r="H42" t="s">
        <v>29</v>
      </c>
      <c r="I42" t="s">
        <v>30</v>
      </c>
      <c r="J42" t="s">
        <v>31</v>
      </c>
      <c r="K42" t="s">
        <v>32</v>
      </c>
      <c r="L42" t="s">
        <v>33</v>
      </c>
    </row>
    <row r="43" spans="1:12" ht="16" x14ac:dyDescent="0.2">
      <c r="B43" t="s">
        <v>9</v>
      </c>
      <c r="C43">
        <v>20</v>
      </c>
      <c r="H43" t="s">
        <v>43</v>
      </c>
      <c r="I43" t="s">
        <v>146</v>
      </c>
      <c r="J43" s="1" t="s">
        <v>58</v>
      </c>
      <c r="K43" s="1" t="s">
        <v>182</v>
      </c>
      <c r="L43" t="s">
        <v>183</v>
      </c>
    </row>
    <row r="44" spans="1:12" x14ac:dyDescent="0.2">
      <c r="A44" t="s">
        <v>0</v>
      </c>
      <c r="B44">
        <v>5</v>
      </c>
      <c r="C44">
        <f>B44*C43</f>
        <v>100</v>
      </c>
      <c r="J44" t="s">
        <v>67</v>
      </c>
      <c r="K44" t="s">
        <v>172</v>
      </c>
    </row>
    <row r="45" spans="1:12" x14ac:dyDescent="0.2">
      <c r="A45" t="s">
        <v>1</v>
      </c>
      <c r="B45">
        <v>1.7</v>
      </c>
      <c r="C45">
        <f>B45*C43</f>
        <v>34</v>
      </c>
      <c r="J45" t="s">
        <v>93</v>
      </c>
    </row>
    <row r="46" spans="1:12" x14ac:dyDescent="0.2">
      <c r="A46" t="s">
        <v>2</v>
      </c>
      <c r="B46">
        <v>0.5</v>
      </c>
      <c r="C46">
        <f>B46*C43</f>
        <v>10</v>
      </c>
      <c r="J46" t="s">
        <v>184</v>
      </c>
    </row>
    <row r="47" spans="1:12" x14ac:dyDescent="0.2">
      <c r="A47" t="s">
        <v>4</v>
      </c>
      <c r="B47">
        <v>0.5</v>
      </c>
      <c r="C47">
        <f>B47*C43</f>
        <v>10</v>
      </c>
      <c r="J47" t="s">
        <v>185</v>
      </c>
    </row>
    <row r="48" spans="1:12" x14ac:dyDescent="0.2">
      <c r="A48" t="s">
        <v>5</v>
      </c>
      <c r="B48">
        <v>0.5</v>
      </c>
      <c r="C48">
        <f>B48*C43</f>
        <v>10</v>
      </c>
      <c r="J48" t="s">
        <v>186</v>
      </c>
    </row>
    <row r="49" spans="1:11" x14ac:dyDescent="0.2">
      <c r="A49" t="s">
        <v>6</v>
      </c>
      <c r="B49">
        <v>0.25</v>
      </c>
      <c r="C49">
        <f>B49*C43</f>
        <v>5</v>
      </c>
      <c r="J49" t="s">
        <v>187</v>
      </c>
    </row>
    <row r="50" spans="1:11" x14ac:dyDescent="0.2">
      <c r="A50" t="s">
        <v>7</v>
      </c>
      <c r="B50">
        <v>15.6</v>
      </c>
      <c r="C50">
        <f>B50*C43</f>
        <v>312</v>
      </c>
      <c r="J50" t="s">
        <v>188</v>
      </c>
    </row>
    <row r="51" spans="1:11" x14ac:dyDescent="0.2">
      <c r="A51" t="s">
        <v>8</v>
      </c>
      <c r="B51">
        <v>1</v>
      </c>
      <c r="C51">
        <f>B51*C43</f>
        <v>20</v>
      </c>
      <c r="J51" t="s">
        <v>189</v>
      </c>
    </row>
    <row r="52" spans="1:11" x14ac:dyDescent="0.2">
      <c r="A52" t="s">
        <v>10</v>
      </c>
      <c r="B52">
        <v>25</v>
      </c>
      <c r="C52">
        <f>B52*C43</f>
        <v>500</v>
      </c>
      <c r="J52" t="s">
        <v>190</v>
      </c>
    </row>
    <row r="53" spans="1:11" x14ac:dyDescent="0.2">
      <c r="K53" t="s">
        <v>222</v>
      </c>
    </row>
    <row r="55" spans="1:11" x14ac:dyDescent="0.2">
      <c r="A55" t="s">
        <v>69</v>
      </c>
    </row>
  </sheetData>
  <phoneticPr fontId="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2"/>
  <sheetViews>
    <sheetView view="pageLayout" workbookViewId="0">
      <selection activeCell="H1" sqref="H1:S11"/>
    </sheetView>
  </sheetViews>
  <sheetFormatPr baseColWidth="10" defaultRowHeight="15" x14ac:dyDescent="0.2"/>
  <sheetData>
    <row r="1" spans="1:3" x14ac:dyDescent="0.2">
      <c r="A1" t="s">
        <v>191</v>
      </c>
    </row>
    <row r="2" spans="1:3" x14ac:dyDescent="0.2">
      <c r="B2" t="s">
        <v>9</v>
      </c>
      <c r="C2">
        <v>20</v>
      </c>
    </row>
    <row r="3" spans="1:3" x14ac:dyDescent="0.2">
      <c r="A3" t="s">
        <v>0</v>
      </c>
      <c r="B3">
        <v>4</v>
      </c>
      <c r="C3">
        <f>B3*C2</f>
        <v>80</v>
      </c>
    </row>
    <row r="4" spans="1:3" x14ac:dyDescent="0.2">
      <c r="A4" t="s">
        <v>1</v>
      </c>
      <c r="B4">
        <v>2.5</v>
      </c>
      <c r="C4">
        <f>B4*C2</f>
        <v>50</v>
      </c>
    </row>
    <row r="5" spans="1:3" x14ac:dyDescent="0.2">
      <c r="A5" t="s">
        <v>2</v>
      </c>
      <c r="B5">
        <v>0.5</v>
      </c>
      <c r="C5">
        <f>B5*C2</f>
        <v>10</v>
      </c>
    </row>
    <row r="6" spans="1:3" x14ac:dyDescent="0.2">
      <c r="A6" t="s">
        <v>4</v>
      </c>
      <c r="B6">
        <v>0.25</v>
      </c>
      <c r="C6">
        <f>B6*C2</f>
        <v>5</v>
      </c>
    </row>
    <row r="7" spans="1:3" x14ac:dyDescent="0.2">
      <c r="A7" t="s">
        <v>5</v>
      </c>
      <c r="B7">
        <v>0.25</v>
      </c>
      <c r="C7">
        <f>B7*C2</f>
        <v>5</v>
      </c>
    </row>
    <row r="8" spans="1:3" x14ac:dyDescent="0.2">
      <c r="A8" t="s">
        <v>15</v>
      </c>
      <c r="B8">
        <v>0.25</v>
      </c>
      <c r="C8">
        <f>B8*C2</f>
        <v>5</v>
      </c>
    </row>
    <row r="9" spans="1:3" x14ac:dyDescent="0.2">
      <c r="A9" t="s">
        <v>6</v>
      </c>
      <c r="B9">
        <v>0.2</v>
      </c>
      <c r="C9">
        <f>B9*C2</f>
        <v>4</v>
      </c>
    </row>
    <row r="10" spans="1:3" x14ac:dyDescent="0.2">
      <c r="A10" t="s">
        <v>7</v>
      </c>
      <c r="B10">
        <v>16.05</v>
      </c>
      <c r="C10">
        <f>B10*C2</f>
        <v>321</v>
      </c>
    </row>
    <row r="11" spans="1:3" x14ac:dyDescent="0.2">
      <c r="A11" t="s">
        <v>8</v>
      </c>
      <c r="B11">
        <v>1</v>
      </c>
      <c r="C11">
        <f>B11*C2</f>
        <v>20</v>
      </c>
    </row>
    <row r="12" spans="1:3" x14ac:dyDescent="0.2">
      <c r="A12" t="s">
        <v>10</v>
      </c>
      <c r="B12">
        <f>SUM(B3:B11)</f>
        <v>25</v>
      </c>
      <c r="C12">
        <f>B12*C2</f>
        <v>500</v>
      </c>
    </row>
  </sheetData>
  <phoneticPr fontId="6" type="noConversion"/>
  <pageMargins left="0.75" right="0.75" top="1" bottom="1" header="0.5" footer="0.5"/>
  <pageSetup orientation="portrait" horizontalDpi="4294967292" verticalDpi="429496729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BF65-55DB-D84D-A020-0E0610CF9636}">
  <dimension ref="A1:L43"/>
  <sheetViews>
    <sheetView workbookViewId="0">
      <selection sqref="A1:L12"/>
    </sheetView>
  </sheetViews>
  <sheetFormatPr baseColWidth="10" defaultColWidth="8.83203125" defaultRowHeight="15" x14ac:dyDescent="0.2"/>
  <cols>
    <col min="9" max="9" width="9.1640625" customWidth="1"/>
    <col min="10" max="10" width="38.5" customWidth="1"/>
    <col min="11" max="11" width="39.1640625" customWidth="1"/>
    <col min="12" max="12" width="18.83203125" customWidth="1"/>
  </cols>
  <sheetData>
    <row r="1" spans="1:12" x14ac:dyDescent="0.2">
      <c r="A1" t="s">
        <v>220</v>
      </c>
      <c r="I1" t="s">
        <v>30</v>
      </c>
      <c r="J1" t="s">
        <v>31</v>
      </c>
      <c r="K1" t="s">
        <v>32</v>
      </c>
      <c r="L1" t="s">
        <v>33</v>
      </c>
    </row>
    <row r="2" spans="1:12" ht="16" x14ac:dyDescent="0.2">
      <c r="B2" t="s">
        <v>9</v>
      </c>
      <c r="C2">
        <v>20</v>
      </c>
      <c r="I2" t="s">
        <v>221</v>
      </c>
      <c r="J2" s="1" t="s">
        <v>46</v>
      </c>
      <c r="K2" s="1" t="s">
        <v>223</v>
      </c>
    </row>
    <row r="3" spans="1:12" x14ac:dyDescent="0.2">
      <c r="A3" t="s">
        <v>0</v>
      </c>
      <c r="B3">
        <v>5</v>
      </c>
      <c r="C3">
        <f>B3*C2</f>
        <v>100</v>
      </c>
      <c r="J3" t="s">
        <v>59</v>
      </c>
      <c r="K3" t="s">
        <v>224</v>
      </c>
    </row>
    <row r="4" spans="1:12" x14ac:dyDescent="0.2">
      <c r="A4" t="s">
        <v>1</v>
      </c>
      <c r="B4">
        <v>2.5</v>
      </c>
      <c r="C4">
        <f>B4*C2</f>
        <v>50</v>
      </c>
      <c r="J4" t="s">
        <v>60</v>
      </c>
      <c r="K4" t="s">
        <v>225</v>
      </c>
    </row>
    <row r="5" spans="1:12" x14ac:dyDescent="0.2">
      <c r="A5" t="s">
        <v>2</v>
      </c>
      <c r="B5">
        <v>0.5</v>
      </c>
      <c r="C5">
        <f>B5*C2</f>
        <v>10</v>
      </c>
      <c r="J5" t="s">
        <v>38</v>
      </c>
    </row>
    <row r="6" spans="1:12" x14ac:dyDescent="0.2">
      <c r="A6" t="s">
        <v>4</v>
      </c>
      <c r="B6">
        <v>1.25</v>
      </c>
      <c r="C6">
        <f>B6*C2</f>
        <v>25</v>
      </c>
      <c r="J6" t="s">
        <v>226</v>
      </c>
    </row>
    <row r="7" spans="1:12" x14ac:dyDescent="0.2">
      <c r="A7" t="s">
        <v>5</v>
      </c>
      <c r="B7">
        <v>1.25</v>
      </c>
      <c r="C7">
        <f>B7*C2</f>
        <v>25</v>
      </c>
      <c r="J7" t="s">
        <v>56</v>
      </c>
    </row>
    <row r="8" spans="1:12" x14ac:dyDescent="0.2">
      <c r="A8" t="s">
        <v>15</v>
      </c>
      <c r="B8">
        <v>1.25</v>
      </c>
      <c r="C8">
        <f>B8*C3</f>
        <v>125</v>
      </c>
      <c r="J8" t="s">
        <v>227</v>
      </c>
    </row>
    <row r="9" spans="1:12" x14ac:dyDescent="0.2">
      <c r="A9" t="s">
        <v>6</v>
      </c>
      <c r="B9">
        <v>0.5</v>
      </c>
      <c r="C9">
        <f>B9*C2</f>
        <v>10</v>
      </c>
    </row>
    <row r="10" spans="1:12" x14ac:dyDescent="0.2">
      <c r="A10" t="s">
        <v>7</v>
      </c>
      <c r="B10">
        <v>11.75</v>
      </c>
      <c r="C10">
        <f>B10*C2</f>
        <v>235</v>
      </c>
    </row>
    <row r="11" spans="1:12" x14ac:dyDescent="0.2">
      <c r="A11" t="s">
        <v>8</v>
      </c>
      <c r="B11">
        <v>1</v>
      </c>
      <c r="C11">
        <f>B11*C2</f>
        <v>20</v>
      </c>
    </row>
    <row r="12" spans="1:12" x14ac:dyDescent="0.2">
      <c r="A12" t="s">
        <v>10</v>
      </c>
      <c r="B12">
        <v>25</v>
      </c>
      <c r="C12">
        <f>B12*C2</f>
        <v>500</v>
      </c>
    </row>
    <row r="16" spans="1:12" x14ac:dyDescent="0.2">
      <c r="J16" s="1"/>
      <c r="K16" s="1"/>
    </row>
    <row r="30" spans="10:11" x14ac:dyDescent="0.2">
      <c r="J30" s="1"/>
      <c r="K30" s="1"/>
    </row>
    <row r="43" spans="10:11" x14ac:dyDescent="0.2">
      <c r="J43" s="1"/>
      <c r="K43" s="1"/>
    </row>
  </sheetData>
  <pageMargins left="0.7" right="0.7" top="0.75" bottom="0.75" header="0.3" footer="0.3"/>
  <pageSetup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6320-1AFC-214C-AEB1-23439DDF9731}">
  <dimension ref="A1:L43"/>
  <sheetViews>
    <sheetView tabSelected="1" workbookViewId="0">
      <selection activeCell="J16" sqref="J16:J22"/>
    </sheetView>
  </sheetViews>
  <sheetFormatPr baseColWidth="10" defaultColWidth="8.83203125" defaultRowHeight="15" x14ac:dyDescent="0.2"/>
  <cols>
    <col min="9" max="9" width="9.1640625" customWidth="1"/>
    <col min="10" max="10" width="38.5" customWidth="1"/>
    <col min="11" max="11" width="55.83203125" customWidth="1"/>
    <col min="12" max="12" width="18.83203125" customWidth="1"/>
  </cols>
  <sheetData>
    <row r="1" spans="1:12" x14ac:dyDescent="0.2">
      <c r="A1" t="s">
        <v>228</v>
      </c>
      <c r="I1" t="s">
        <v>30</v>
      </c>
      <c r="J1" t="s">
        <v>31</v>
      </c>
      <c r="K1" t="s">
        <v>32</v>
      </c>
      <c r="L1" t="s">
        <v>33</v>
      </c>
    </row>
    <row r="2" spans="1:12" ht="16" x14ac:dyDescent="0.2">
      <c r="B2" t="s">
        <v>9</v>
      </c>
      <c r="C2">
        <v>20</v>
      </c>
      <c r="I2">
        <v>52</v>
      </c>
      <c r="J2" s="1" t="s">
        <v>53</v>
      </c>
      <c r="K2" s="13" t="s">
        <v>229</v>
      </c>
      <c r="L2" t="s">
        <v>231</v>
      </c>
    </row>
    <row r="3" spans="1:12" x14ac:dyDescent="0.2">
      <c r="A3" t="s">
        <v>0</v>
      </c>
      <c r="B3">
        <v>5</v>
      </c>
      <c r="C3">
        <f>B3*C2</f>
        <v>100</v>
      </c>
      <c r="J3" t="s">
        <v>36</v>
      </c>
      <c r="K3" s="13" t="s">
        <v>230</v>
      </c>
    </row>
    <row r="4" spans="1:12" x14ac:dyDescent="0.2">
      <c r="A4" t="s">
        <v>1</v>
      </c>
      <c r="B4">
        <v>2</v>
      </c>
      <c r="C4">
        <f>B4*C2</f>
        <v>40</v>
      </c>
      <c r="J4" t="s">
        <v>236</v>
      </c>
    </row>
    <row r="5" spans="1:12" x14ac:dyDescent="0.2">
      <c r="A5" t="s">
        <v>2</v>
      </c>
      <c r="B5">
        <v>0.5</v>
      </c>
      <c r="C5">
        <f>B5*C2</f>
        <v>10</v>
      </c>
      <c r="J5" t="s">
        <v>49</v>
      </c>
    </row>
    <row r="6" spans="1:12" x14ac:dyDescent="0.2">
      <c r="A6" t="s">
        <v>4</v>
      </c>
      <c r="B6">
        <v>0.5</v>
      </c>
      <c r="C6">
        <f>B6*C2</f>
        <v>10</v>
      </c>
      <c r="J6" t="s">
        <v>237</v>
      </c>
    </row>
    <row r="7" spans="1:12" x14ac:dyDescent="0.2">
      <c r="A7" t="s">
        <v>5</v>
      </c>
      <c r="B7">
        <v>0.5</v>
      </c>
      <c r="C7">
        <f>B7*C2</f>
        <v>10</v>
      </c>
      <c r="J7" t="s">
        <v>56</v>
      </c>
    </row>
    <row r="8" spans="1:12" x14ac:dyDescent="0.2">
      <c r="A8" t="s">
        <v>6</v>
      </c>
      <c r="B8">
        <v>0.5</v>
      </c>
      <c r="C8">
        <f>B8*C2</f>
        <v>10</v>
      </c>
      <c r="J8" t="s">
        <v>238</v>
      </c>
    </row>
    <row r="9" spans="1:12" x14ac:dyDescent="0.2">
      <c r="A9" t="s">
        <v>7</v>
      </c>
      <c r="B9">
        <v>15</v>
      </c>
      <c r="C9">
        <f>B9*C2</f>
        <v>300</v>
      </c>
    </row>
    <row r="10" spans="1:12" x14ac:dyDescent="0.2">
      <c r="A10" t="s">
        <v>8</v>
      </c>
      <c r="B10">
        <v>1</v>
      </c>
      <c r="C10">
        <f>B10*C2</f>
        <v>20</v>
      </c>
    </row>
    <row r="11" spans="1:12" x14ac:dyDescent="0.2">
      <c r="A11" t="s">
        <v>10</v>
      </c>
      <c r="B11">
        <v>25</v>
      </c>
      <c r="C11">
        <f>B11*C2</f>
        <v>500</v>
      </c>
    </row>
    <row r="15" spans="1:12" x14ac:dyDescent="0.2">
      <c r="A15" t="s">
        <v>232</v>
      </c>
      <c r="I15" t="s">
        <v>30</v>
      </c>
      <c r="J15" t="s">
        <v>31</v>
      </c>
      <c r="K15" t="s">
        <v>32</v>
      </c>
      <c r="L15" t="s">
        <v>33</v>
      </c>
    </row>
    <row r="16" spans="1:12" ht="16" x14ac:dyDescent="0.2">
      <c r="B16" t="s">
        <v>9</v>
      </c>
      <c r="C16">
        <v>20</v>
      </c>
      <c r="I16">
        <v>52</v>
      </c>
      <c r="J16" s="1" t="s">
        <v>53</v>
      </c>
      <c r="K16" s="13" t="s">
        <v>233</v>
      </c>
      <c r="L16" t="s">
        <v>235</v>
      </c>
    </row>
    <row r="17" spans="1:11" x14ac:dyDescent="0.2">
      <c r="A17" t="s">
        <v>0</v>
      </c>
      <c r="B17">
        <v>5</v>
      </c>
      <c r="C17">
        <f>B17*C16</f>
        <v>100</v>
      </c>
      <c r="J17" t="s">
        <v>36</v>
      </c>
      <c r="K17" s="13" t="s">
        <v>234</v>
      </c>
    </row>
    <row r="18" spans="1:11" x14ac:dyDescent="0.2">
      <c r="A18" t="s">
        <v>1</v>
      </c>
      <c r="B18">
        <v>2</v>
      </c>
      <c r="C18">
        <f>B18*C16</f>
        <v>40</v>
      </c>
      <c r="J18" t="s">
        <v>236</v>
      </c>
    </row>
    <row r="19" spans="1:11" x14ac:dyDescent="0.2">
      <c r="A19" t="s">
        <v>2</v>
      </c>
      <c r="B19">
        <v>0.5</v>
      </c>
      <c r="C19">
        <f>B19*C16</f>
        <v>10</v>
      </c>
      <c r="J19" t="s">
        <v>49</v>
      </c>
    </row>
    <row r="20" spans="1:11" x14ac:dyDescent="0.2">
      <c r="A20" t="s">
        <v>4</v>
      </c>
      <c r="B20">
        <v>0.5</v>
      </c>
      <c r="C20">
        <f>B20*C16</f>
        <v>10</v>
      </c>
      <c r="J20" t="s">
        <v>237</v>
      </c>
    </row>
    <row r="21" spans="1:11" x14ac:dyDescent="0.2">
      <c r="A21" t="s">
        <v>5</v>
      </c>
      <c r="B21">
        <v>0.5</v>
      </c>
      <c r="C21">
        <f>B21*C16</f>
        <v>10</v>
      </c>
      <c r="J21" t="s">
        <v>56</v>
      </c>
    </row>
    <row r="22" spans="1:11" x14ac:dyDescent="0.2">
      <c r="A22" t="s">
        <v>6</v>
      </c>
      <c r="B22">
        <v>0.5</v>
      </c>
      <c r="C22">
        <f>B22*C16</f>
        <v>10</v>
      </c>
      <c r="J22" t="s">
        <v>238</v>
      </c>
    </row>
    <row r="23" spans="1:11" x14ac:dyDescent="0.2">
      <c r="A23" t="s">
        <v>7</v>
      </c>
      <c r="B23">
        <v>15</v>
      </c>
      <c r="C23">
        <f>B23*C16</f>
        <v>300</v>
      </c>
    </row>
    <row r="24" spans="1:11" x14ac:dyDescent="0.2">
      <c r="A24" t="s">
        <v>8</v>
      </c>
      <c r="B24">
        <v>1</v>
      </c>
      <c r="C24">
        <f>B24*C16</f>
        <v>20</v>
      </c>
    </row>
    <row r="25" spans="1:11" x14ac:dyDescent="0.2">
      <c r="A25" t="s">
        <v>10</v>
      </c>
      <c r="B25">
        <v>25</v>
      </c>
      <c r="C25">
        <f>B25*C16</f>
        <v>500</v>
      </c>
    </row>
    <row r="30" spans="1:11" x14ac:dyDescent="0.2">
      <c r="J30" s="1"/>
      <c r="K30" s="1"/>
    </row>
    <row r="43" spans="10:11" x14ac:dyDescent="0.2">
      <c r="J43" s="1"/>
      <c r="K43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</vt:i4>
      </vt:variant>
    </vt:vector>
  </HeadingPairs>
  <TitlesOfParts>
    <vt:vector size="32" baseType="lpstr">
      <vt:lpstr>Id2flox</vt:lpstr>
      <vt:lpstr>Id2flox_op USE THIS ONE</vt:lpstr>
      <vt:lpstr>Id2flox Alt</vt:lpstr>
      <vt:lpstr>Id3flox USE THIS ONE</vt:lpstr>
      <vt:lpstr>Id3flox</vt:lpstr>
      <vt:lpstr>P14</vt:lpstr>
      <vt:lpstr>Cre</vt:lpstr>
      <vt:lpstr>PLZF Cre</vt:lpstr>
      <vt:lpstr>dLCK Cre</vt:lpstr>
      <vt:lpstr>Cre Reporter</vt:lpstr>
      <vt:lpstr>FOXO1</vt:lpstr>
      <vt:lpstr>NKT (va14g)</vt:lpstr>
      <vt:lpstr>HEB KO</vt:lpstr>
      <vt:lpstr>HEBflox</vt:lpstr>
      <vt:lpstr>E2Aflox</vt:lpstr>
      <vt:lpstr>Zeb2flox</vt:lpstr>
      <vt:lpstr>Tbetflox</vt:lpstr>
      <vt:lpstr>OT-I</vt:lpstr>
      <vt:lpstr>Bhlhe40</vt:lpstr>
      <vt:lpstr>HIFVHL</vt:lpstr>
      <vt:lpstr>HIF2</vt:lpstr>
      <vt:lpstr>E2-2 Reporter</vt:lpstr>
      <vt:lpstr>E2-2 Conditional</vt:lpstr>
      <vt:lpstr>RagKO</vt:lpstr>
      <vt:lpstr>USP1</vt:lpstr>
      <vt:lpstr>ER cre</vt:lpstr>
      <vt:lpstr>ER cre updated</vt:lpstr>
      <vt:lpstr>ID2KOID3KI</vt:lpstr>
      <vt:lpstr>Bhlhe40!Print_Area</vt:lpstr>
      <vt:lpstr>Id2flox!Print_Area</vt:lpstr>
      <vt:lpstr>'Id2flox_op USE THIS ONE'!Print_Area</vt:lpstr>
      <vt:lpstr>'Id3flox USE THIS ONE'!Print_Area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Brandy</dc:creator>
  <cp:lastModifiedBy>Kyla Omilusik</cp:lastModifiedBy>
  <cp:lastPrinted>2014-07-16T17:41:45Z</cp:lastPrinted>
  <dcterms:created xsi:type="dcterms:W3CDTF">2013-07-25T17:18:58Z</dcterms:created>
  <dcterms:modified xsi:type="dcterms:W3CDTF">2021-06-18T17:59:16Z</dcterms:modified>
</cp:coreProperties>
</file>