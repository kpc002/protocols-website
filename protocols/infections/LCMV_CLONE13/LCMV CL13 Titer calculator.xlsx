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oldrathlab/Kitty/Protocols/"/>
    </mc:Choice>
  </mc:AlternateContent>
  <xr:revisionPtr revIDLastSave="0" documentId="8_{E74671C4-9123-EC40-A9BC-B08ABDF65B6E}" xr6:coauthVersionLast="47" xr6:coauthVersionMax="47" xr10:uidLastSave="{00000000-0000-0000-0000-000000000000}"/>
  <bookViews>
    <workbookView xWindow="10380" yWindow="6700" windowWidth="28040" windowHeight="17440" xr2:uid="{29ABF120-54EB-A348-A0F7-CDFE2B3385DC}"/>
  </bookViews>
  <sheets>
    <sheet name="calculato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C15" i="2"/>
  <c r="D16" i="2"/>
  <c r="C16" i="2"/>
</calcChain>
</file>

<file path=xl/sharedStrings.xml><?xml version="1.0" encoding="utf-8"?>
<sst xmlns="http://schemas.openxmlformats.org/spreadsheetml/2006/main" count="12" uniqueCount="12">
  <si>
    <t>(NM) 2020</t>
  </si>
  <si>
    <t>Total (ml)</t>
  </si>
  <si>
    <t>1ml /cage of 5</t>
  </si>
  <si>
    <t>virus needed (ml)</t>
  </si>
  <si>
    <t>PBS needed (ml)</t>
  </si>
  <si>
    <t>AB</t>
  </si>
  <si>
    <t>NM</t>
  </si>
  <si>
    <t>new average pfu/ml</t>
  </si>
  <si>
    <t>(AB) 2015</t>
  </si>
  <si>
    <t>calculations are for 2E+06 pfu/200ul</t>
  </si>
  <si>
    <t>PBS and virus vol will be calculated</t>
  </si>
  <si>
    <t>enter total volume of diluted virus needed at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</si>
</sst>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1" fontId="0" fillId="0" borderId="1" xfId="0" applyNumberFormat="1" applyBorder="1"/>
    <xf numFmtId="16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EBD8-685D-A046-8A66-3F02B19EBCC0}">
  <dimension ref="B7:D20"/>
  <sheetViews>
    <sheetView tabSelected="1" workbookViewId="0">
      <selection activeCell="F24" sqref="F24"/>
    </sheetView>
  </sheetViews>
  <sheetFormatPr baseColWidth="10" defaultRowHeight="16" x14ac:dyDescent="0.2"/>
  <cols>
    <col min="2" max="2" width="17.5" customWidth="1"/>
    <col min="3" max="4" width="14.83203125" customWidth="1"/>
  </cols>
  <sheetData>
    <row r="7" spans="2:4" x14ac:dyDescent="0.2">
      <c r="B7" s="1"/>
      <c r="C7" s="1" t="s">
        <v>8</v>
      </c>
      <c r="D7" s="1" t="s">
        <v>0</v>
      </c>
    </row>
    <row r="8" spans="2:4" x14ac:dyDescent="0.2">
      <c r="B8" s="1" t="s">
        <v>7</v>
      </c>
      <c r="C8" s="2">
        <v>51500000</v>
      </c>
      <c r="D8" s="2">
        <v>84950000</v>
      </c>
    </row>
    <row r="11" spans="2:4" x14ac:dyDescent="0.2">
      <c r="B11" t="s">
        <v>9</v>
      </c>
    </row>
    <row r="12" spans="2:4" x14ac:dyDescent="0.2">
      <c r="B12" t="s">
        <v>2</v>
      </c>
    </row>
    <row r="14" spans="2:4" x14ac:dyDescent="0.2">
      <c r="B14" s="1"/>
      <c r="C14" s="1" t="s">
        <v>5</v>
      </c>
      <c r="D14" s="1" t="s">
        <v>6</v>
      </c>
    </row>
    <row r="15" spans="2:4" x14ac:dyDescent="0.2">
      <c r="B15" s="1" t="s">
        <v>3</v>
      </c>
      <c r="C15" s="3">
        <f>C17*10000000/C8</f>
        <v>0</v>
      </c>
      <c r="D15" s="3">
        <f>D17*10000000/D8</f>
        <v>0</v>
      </c>
    </row>
    <row r="16" spans="2:4" x14ac:dyDescent="0.2">
      <c r="B16" s="1" t="s">
        <v>4</v>
      </c>
      <c r="C16" s="3">
        <f>C17-C15</f>
        <v>0</v>
      </c>
      <c r="D16" s="3">
        <f>D17-D15</f>
        <v>0</v>
      </c>
    </row>
    <row r="17" spans="2:4" x14ac:dyDescent="0.2">
      <c r="B17" s="1" t="s">
        <v>1</v>
      </c>
      <c r="C17" s="4"/>
      <c r="D17" s="4"/>
    </row>
    <row r="19" spans="2:4" x14ac:dyDescent="0.2">
      <c r="B19" t="s">
        <v>11</v>
      </c>
    </row>
    <row r="20" spans="2:4" x14ac:dyDescent="0.2">
      <c r="B20" t="s">
        <v>10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Kennidy Takehara</dc:creator>
  <cp:lastModifiedBy>Kennidy Takehara</cp:lastModifiedBy>
  <cp:lastPrinted>2026-01-05T18:53:24Z</cp:lastPrinted>
  <dcterms:created xsi:type="dcterms:W3CDTF">2025-12-09T19:18:49Z</dcterms:created>
  <dcterms:modified xsi:type="dcterms:W3CDTF">2026-07-22T17:10:21Z</dcterms:modified>
</cp:coreProperties>
</file>