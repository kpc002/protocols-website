
<file path=[Content_Types].xml><?xml version="1.0" encoding="utf-8"?>
<Types xmlns="http://schemas.openxmlformats.org/package/2006/content-types">
  <Override PartName="/xl/worksheets/sheet12.xml" ContentType="application/vnd.openxmlformats-officedocument.spreadsheetml.worksheet+xml"/>
  <Override PartName="/xl/worksheets/sheet1.xml" ContentType="application/vnd.openxmlformats-officedocument.spreadsheetml.worksheet+xml"/>
  <Override PartName="/xl/worksheets/sheet31.xml" ContentType="application/vnd.openxmlformats-officedocument.spreadsheetml.worksheet+xml"/>
  <Override PartName="/xl/worksheets/sheet2.xml" ContentType="application/vnd.openxmlformats-officedocument.spreadsheetml.worksheet+xml"/>
  <Override PartName="/xl/worksheets/sheet27.xml" ContentType="application/vnd.openxmlformats-officedocument.spreadsheetml.worksheet+xml"/>
  <Override PartName="/xl/worksheets/sheet14.xml" ContentType="application/vnd.openxmlformats-officedocument.spreadsheetml.worksheet+xml"/>
  <Override PartName="/docProps/app.xml" ContentType="application/vnd.openxmlformats-officedocument.extended-properties+xml"/>
  <Override PartName="/xl/worksheets/sheet7.xml" ContentType="application/vnd.openxmlformats-officedocument.spreadsheetml.worksheet+xml"/>
  <Override PartName="/xl/worksheets/sheet22.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calcChain.xml" ContentType="application/vnd.openxmlformats-officedocument.spreadsheetml.calcChain+xml"/>
  <Override PartName="/xl/worksheets/sheet16.xml" ContentType="application/vnd.openxmlformats-officedocument.spreadsheetml.worksheet+xml"/>
  <Override PartName="/xl/workbook.xml" ContentType="application/vnd.openxmlformats-officedocument.spreadsheetml.sheet.main+xml"/>
  <Override PartName="/xl/worksheets/sheet24.xml" ContentType="application/vnd.openxmlformats-officedocument.spreadsheetml.worksheet+xml"/>
  <Override PartName="/xl/worksheets/sheet20.xml" ContentType="application/vnd.openxmlformats-officedocument.spreadsheetml.worksheet+xml"/>
  <Override PartName="/xl/worksheets/sheet25.xml" ContentType="application/vnd.openxmlformats-officedocument.spreadsheetml.worksheet+xml"/>
  <Override PartName="/xl/worksheets/sheet18.xml" ContentType="application/vnd.openxmlformats-officedocument.spreadsheetml.worksheet+xml"/>
  <Default Extension="xml" ContentType="application/xml"/>
  <Override PartName="/xl/worksheets/sheet26.xml" ContentType="application/vnd.openxmlformats-officedocument.spreadsheetml.worksheet+xml"/>
  <Override PartName="/xl/worksheets/sheet3.xml" ContentType="application/vnd.openxmlformats-officedocument.spreadsheetml.worksheet+xml"/>
  <Override PartName="/xl/worksheets/sheet29.xml" ContentType="application/vnd.openxmlformats-officedocument.spreadsheetml.worksheet+xml"/>
  <Override PartName="/xl/worksheets/sheet4.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Default Extension="rels" ContentType="application/vnd.openxmlformats-package.relationships+xml"/>
  <Override PartName="/xl/worksheets/sheet6.xml" ContentType="application/vnd.openxmlformats-officedocument.spreadsheetml.worksheet+xml"/>
  <Override PartName="/xl/worksheets/sheet23.xml" ContentType="application/vnd.openxmlformats-officedocument.spreadsheetml.worksheet+xml"/>
  <Override PartName="/docProps/core.xml" ContentType="application/vnd.openxmlformats-package.core-properties+xml"/>
  <Override PartName="/xl/worksheets/sheet28.xml" ContentType="application/vnd.openxmlformats-officedocument.spreadsheetml.worksheet+xml"/>
  <Override PartName="/xl/worksheets/sheet17.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30.xml" ContentType="application/vnd.openxmlformats-officedocument.spreadsheetml.worksheet+xml"/>
  <Override PartName="/xl/styles.xml" ContentType="application/vnd.openxmlformats-officedocument.spreadsheetml.styles+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autoCompressPictures="0"/>
  <bookViews>
    <workbookView xWindow="0" yWindow="0" windowWidth="38240" windowHeight="23240" tabRatio="732" firstSheet="12" activeTab="21"/>
  </bookViews>
  <sheets>
    <sheet name="Id2flox" sheetId="1" r:id="rId1"/>
    <sheet name="Id2flox_op" sheetId="26" r:id="rId2"/>
    <sheet name="Id2flox Alt" sheetId="25" r:id="rId3"/>
    <sheet name="Id3flox Alt" sheetId="18" r:id="rId4"/>
    <sheet name="Id3flox" sheetId="2" r:id="rId5"/>
    <sheet name="P14" sheetId="12" r:id="rId6"/>
    <sheet name="Cre" sheetId="15" r:id="rId7"/>
    <sheet name="PLZF Cre" sheetId="13" r:id="rId8"/>
    <sheet name="dLCK Cre" sheetId="4" r:id="rId9"/>
    <sheet name="Cre Reporter" sheetId="5" r:id="rId10"/>
    <sheet name="FOXO1" sheetId="3" r:id="rId11"/>
    <sheet name="NKT (va14g)" sheetId="17" r:id="rId12"/>
    <sheet name="HEB KO" sheetId="16" r:id="rId13"/>
    <sheet name="HEBflox" sheetId="6" r:id="rId14"/>
    <sheet name="E2Aflox" sheetId="7" r:id="rId15"/>
    <sheet name="Zeb2flox" sheetId="8" r:id="rId16"/>
    <sheet name="Tbetflox" sheetId="9" r:id="rId17"/>
    <sheet name="OT-I" sheetId="10" r:id="rId18"/>
    <sheet name="Bhlhe40" sheetId="11" r:id="rId19"/>
    <sheet name="HIFVHL" sheetId="14" r:id="rId20"/>
    <sheet name="HIF2" sheetId="19" r:id="rId21"/>
    <sheet name="E2-2 Reporter" sheetId="21" r:id="rId22"/>
    <sheet name="E2-2 Conditional" sheetId="23" r:id="rId23"/>
    <sheet name="USP1" sheetId="22" r:id="rId24"/>
    <sheet name="ER cre" sheetId="24" r:id="rId25"/>
    <sheet name="FLP'd and un-FLP'd" sheetId="27" r:id="rId26"/>
    <sheet name="Cre-rearranged" sheetId="28" r:id="rId27"/>
    <sheet name="WT Id2-3" sheetId="29" r:id="rId28"/>
    <sheet name="VHL-flox" sheetId="30" r:id="rId29"/>
    <sheet name="Hif1a flox" sheetId="31" r:id="rId30"/>
    <sheet name="Hif2a flox" sheetId="32" r:id="rId31"/>
  </sheets>
  <definedNames>
    <definedName name="_xlnm.Print_Area" localSheetId="18">Bhlhe40!$A$1:$C$25</definedName>
    <definedName name="_xlnm.Print_Area" localSheetId="0">Id2flox!$A$1:$C$12</definedName>
    <definedName name="_xlnm.Print_Area" localSheetId="1">Id2flox_op!$A$1:$C$11</definedName>
    <definedName name="_xlnm.Print_Area" localSheetId="3">'Id3flox Alt'!$A$1:$C$24</definedName>
  </definedNames>
  <calcPr calcId="130407"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C25" i="11"/>
  <c r="C24"/>
  <c r="C23"/>
  <c r="C22"/>
  <c r="C21"/>
  <c r="C20"/>
  <c r="C19"/>
  <c r="C18"/>
  <c r="C17"/>
  <c r="C11"/>
  <c r="C10"/>
  <c r="C9"/>
  <c r="C8"/>
  <c r="C7"/>
  <c r="C6"/>
  <c r="C5"/>
  <c r="C4"/>
  <c r="C3"/>
  <c r="C11" i="15"/>
  <c r="C10"/>
  <c r="C9"/>
  <c r="C8"/>
  <c r="C7"/>
  <c r="C6"/>
  <c r="C5"/>
  <c r="C4"/>
  <c r="C3"/>
  <c r="B13" i="5"/>
  <c r="C9"/>
  <c r="C8"/>
  <c r="C13"/>
  <c r="C12"/>
  <c r="C11"/>
  <c r="C10"/>
  <c r="C7"/>
  <c r="C6"/>
  <c r="C5"/>
  <c r="C4"/>
  <c r="C3"/>
  <c r="C11" i="4"/>
  <c r="C10"/>
  <c r="C9"/>
  <c r="C8"/>
  <c r="C7"/>
  <c r="C6"/>
  <c r="C5"/>
  <c r="C4"/>
  <c r="C3"/>
  <c r="C68" i="23"/>
  <c r="C67"/>
  <c r="C66"/>
  <c r="C65"/>
  <c r="C64"/>
  <c r="C63"/>
  <c r="C62"/>
  <c r="C61"/>
  <c r="C60"/>
  <c r="C59"/>
  <c r="C54"/>
  <c r="C53"/>
  <c r="C52"/>
  <c r="C51"/>
  <c r="C50"/>
  <c r="C49"/>
  <c r="C48"/>
  <c r="C47"/>
  <c r="C46"/>
  <c r="C45"/>
  <c r="C39"/>
  <c r="C38"/>
  <c r="C37"/>
  <c r="C36"/>
  <c r="C35"/>
  <c r="C34"/>
  <c r="C33"/>
  <c r="C32"/>
  <c r="C31"/>
  <c r="C26"/>
  <c r="C25"/>
  <c r="C24"/>
  <c r="C23"/>
  <c r="C22"/>
  <c r="C21"/>
  <c r="C20"/>
  <c r="C19"/>
  <c r="C18"/>
  <c r="C17"/>
  <c r="C11"/>
  <c r="C10"/>
  <c r="C9"/>
  <c r="C8"/>
  <c r="C7"/>
  <c r="C6"/>
  <c r="C5"/>
  <c r="C4"/>
  <c r="C3"/>
  <c r="C39" i="21"/>
  <c r="C38"/>
  <c r="C37"/>
  <c r="C36"/>
  <c r="C35"/>
  <c r="C34"/>
  <c r="C33"/>
  <c r="C32"/>
  <c r="C31"/>
  <c r="C26"/>
  <c r="C25"/>
  <c r="C24"/>
  <c r="C23"/>
  <c r="C22"/>
  <c r="C21"/>
  <c r="C20"/>
  <c r="C19"/>
  <c r="C18"/>
  <c r="C17"/>
  <c r="C11"/>
  <c r="C10"/>
  <c r="C9"/>
  <c r="C8"/>
  <c r="C7"/>
  <c r="C6"/>
  <c r="C5"/>
  <c r="C4"/>
  <c r="C3"/>
  <c r="C5" i="7"/>
  <c r="B13"/>
  <c r="C13"/>
  <c r="C12"/>
  <c r="C11"/>
  <c r="C10"/>
  <c r="C9"/>
  <c r="C8"/>
  <c r="C7"/>
  <c r="C6"/>
  <c r="C4"/>
  <c r="C3"/>
  <c r="B12" i="24"/>
  <c r="C12"/>
  <c r="C11"/>
  <c r="C10"/>
  <c r="C9"/>
  <c r="C8"/>
  <c r="C7"/>
  <c r="C6"/>
  <c r="C5"/>
  <c r="C4"/>
  <c r="C3"/>
  <c r="C11" i="3"/>
  <c r="C10"/>
  <c r="C9"/>
  <c r="C8"/>
  <c r="C7"/>
  <c r="C6"/>
  <c r="C5"/>
  <c r="C4"/>
  <c r="C3"/>
  <c r="C8" i="16"/>
  <c r="B12"/>
  <c r="C12"/>
  <c r="C11"/>
  <c r="C10"/>
  <c r="C9"/>
  <c r="C7"/>
  <c r="C6"/>
  <c r="C5"/>
  <c r="C4"/>
  <c r="C3"/>
  <c r="B11" i="6"/>
  <c r="C11"/>
  <c r="C10"/>
  <c r="C9"/>
  <c r="C8"/>
  <c r="C7"/>
  <c r="C6"/>
  <c r="C5"/>
  <c r="C4"/>
  <c r="C3"/>
  <c r="C3" i="19"/>
  <c r="C4"/>
  <c r="C5"/>
  <c r="C6"/>
  <c r="C7"/>
  <c r="C8"/>
  <c r="C9"/>
  <c r="C10"/>
  <c r="C11"/>
  <c r="B11"/>
  <c r="C3" i="14"/>
  <c r="C4"/>
  <c r="C5"/>
  <c r="C6"/>
  <c r="C7"/>
  <c r="C8"/>
  <c r="C9"/>
  <c r="C10"/>
  <c r="C11"/>
  <c r="B11"/>
  <c r="C3" i="1"/>
  <c r="C4"/>
  <c r="C5"/>
  <c r="C6"/>
  <c r="C7"/>
  <c r="C8"/>
  <c r="C9"/>
  <c r="C10"/>
  <c r="C11"/>
  <c r="C12"/>
  <c r="B12"/>
  <c r="C3" i="25"/>
  <c r="C4"/>
  <c r="C5"/>
  <c r="C6"/>
  <c r="C7"/>
  <c r="C8"/>
  <c r="C9"/>
  <c r="C10"/>
  <c r="C11"/>
  <c r="C12"/>
  <c r="B12"/>
  <c r="C6" i="26"/>
  <c r="C3"/>
  <c r="C4"/>
  <c r="C5"/>
  <c r="C7"/>
  <c r="C8"/>
  <c r="C9"/>
  <c r="C10"/>
  <c r="C11"/>
  <c r="B11"/>
  <c r="B12" i="2"/>
  <c r="C11"/>
  <c r="C10"/>
  <c r="C9"/>
  <c r="C8"/>
  <c r="C7"/>
  <c r="C6"/>
  <c r="C5"/>
  <c r="C4"/>
  <c r="C3"/>
  <c r="C12"/>
  <c r="C3" i="18"/>
  <c r="C4"/>
  <c r="C5"/>
  <c r="C6"/>
  <c r="C7"/>
  <c r="C8"/>
  <c r="C9"/>
  <c r="C10"/>
  <c r="C11"/>
  <c r="B11"/>
  <c r="B11" i="17"/>
  <c r="C11"/>
  <c r="C10"/>
  <c r="C9"/>
  <c r="C8"/>
  <c r="C7"/>
  <c r="C6"/>
  <c r="C5"/>
  <c r="C4"/>
  <c r="C3"/>
  <c r="B11" i="10"/>
  <c r="C10"/>
  <c r="C9"/>
  <c r="C8"/>
  <c r="C7"/>
  <c r="C6"/>
  <c r="C5"/>
  <c r="C4"/>
  <c r="C3"/>
  <c r="C11"/>
  <c r="C11" i="12"/>
  <c r="C10"/>
  <c r="C9"/>
  <c r="C8"/>
  <c r="C7"/>
  <c r="C6"/>
  <c r="C5"/>
  <c r="C4"/>
  <c r="C3"/>
  <c r="C11" i="13"/>
  <c r="C10"/>
  <c r="C9"/>
  <c r="C8"/>
  <c r="C7"/>
  <c r="C6"/>
  <c r="C5"/>
  <c r="C4"/>
  <c r="C3"/>
  <c r="C12" i="9"/>
  <c r="C11"/>
  <c r="C10"/>
  <c r="C9"/>
  <c r="C8"/>
  <c r="C7"/>
  <c r="C6"/>
  <c r="C5"/>
  <c r="C4"/>
  <c r="C3"/>
  <c r="C52" i="22"/>
  <c r="C51"/>
  <c r="C50"/>
  <c r="C49"/>
  <c r="C48"/>
  <c r="C47"/>
  <c r="C46"/>
  <c r="C45"/>
  <c r="C44"/>
  <c r="C38"/>
  <c r="C37"/>
  <c r="C36"/>
  <c r="C35"/>
  <c r="C34"/>
  <c r="C33"/>
  <c r="C32"/>
  <c r="C31"/>
  <c r="C30"/>
  <c r="C24"/>
  <c r="C23"/>
  <c r="C22"/>
  <c r="C21"/>
  <c r="C20"/>
  <c r="C19"/>
  <c r="C18"/>
  <c r="C17"/>
  <c r="C16"/>
  <c r="C11"/>
  <c r="C10"/>
  <c r="C9"/>
  <c r="C8"/>
  <c r="C7"/>
  <c r="C6"/>
  <c r="C5"/>
  <c r="C4"/>
  <c r="C3"/>
  <c r="C7" i="8"/>
  <c r="C12"/>
  <c r="C11"/>
  <c r="C10"/>
  <c r="C9"/>
  <c r="C8"/>
  <c r="C6"/>
  <c r="C5"/>
  <c r="C4"/>
  <c r="C3"/>
</calcChain>
</file>

<file path=xl/sharedStrings.xml><?xml version="1.0" encoding="utf-8"?>
<sst xmlns="http://schemas.openxmlformats.org/spreadsheetml/2006/main" count="1120" uniqueCount="335">
  <si>
    <t>7.Incubate at 4°C for 5:00</t>
  </si>
  <si>
    <t>Cre R- gtgaaacagcattgctgtcactt</t>
  </si>
  <si>
    <t>Cre F-gCggTCTggCAgTAAAAACTATC</t>
  </si>
  <si>
    <t>Vbeta8-</t>
  </si>
  <si>
    <t>Cbeta2-</t>
  </si>
  <si>
    <t>1. Incubate at 94°C for 2:00</t>
  </si>
  <si>
    <t>2. Incubate at 94°C for 0:15</t>
  </si>
  <si>
    <t>3. Incubate at 60°C for 0:15</t>
  </si>
  <si>
    <t xml:space="preserve"> USE NEB TAQ AS OUR LAB STOCK IS CONTAMINATED WITH LACZ AND CAN GET FALSE POSITIVES</t>
  </si>
  <si>
    <t>ID2flox_op</t>
  </si>
  <si>
    <t>3. Incubate at 60°C for 0:40</t>
  </si>
  <si>
    <t>PLZF</t>
    <phoneticPr fontId="6" type="noConversion"/>
  </si>
  <si>
    <t>ID2flox</t>
  </si>
  <si>
    <t>2. Incubate at 94°C for 0:40</t>
  </si>
  <si>
    <t>3. Incubate at 45°C for 0:40</t>
  </si>
  <si>
    <t>4. Incubate at 72°C for 0:50</t>
  </si>
  <si>
    <t>5. Cycle to step 2, 37 times</t>
  </si>
  <si>
    <t>ID2flox F- TTGTGCATAATTAATCGCATCA</t>
  </si>
  <si>
    <t>ID2flox R- TTGGGAAGTCACATTTGTAGTG</t>
  </si>
  <si>
    <t>WT-390bp</t>
  </si>
  <si>
    <t>Mut-430bp</t>
  </si>
  <si>
    <t>HEBflox</t>
  </si>
  <si>
    <t>Louise</t>
  </si>
  <si>
    <t>3. Incubate at 59.5°C for 0:30</t>
  </si>
  <si>
    <t>4. Incubate at 72°C for 1:30</t>
  </si>
  <si>
    <t>oIMR9104- AAC CAG AAG TGG CAC CTG AC</t>
  </si>
  <si>
    <t>Wild type- 297bp</t>
  </si>
  <si>
    <t>Mutant- 199bp</t>
  </si>
  <si>
    <t>HIF1/VHL</t>
    <phoneticPr fontId="6" type="noConversion"/>
  </si>
  <si>
    <t>HIF2</t>
    <phoneticPr fontId="6" type="noConversion"/>
  </si>
  <si>
    <t>~600bp</t>
  </si>
  <si>
    <t>PLZF cre F- CGA TGC AAC GAG TGA TGA</t>
  </si>
  <si>
    <t>PLZF cre R- ATC GCT CGA CCA GTT TAG T</t>
  </si>
  <si>
    <t>HEB+/-</t>
  </si>
  <si>
    <t>HEB wt- TCT GAC TTG CTG TTC TAG ACT</t>
  </si>
  <si>
    <t>HEB ko- TGG ATT CAT CGA CTG TGG</t>
  </si>
  <si>
    <t>HEB com- GAA GGA GAG GCG GAT GGC TAA</t>
  </si>
  <si>
    <t>3. Incubate at 58°C for 0:45</t>
  </si>
  <si>
    <t>5. Cycle to step 2, 29 times</t>
  </si>
  <si>
    <t>7.Incubate at 4°C forever</t>
  </si>
  <si>
    <t>RT-1 (350rv)  5’-CGTTTTATTCCCCGCCTGGA-3’</t>
  </si>
  <si>
    <t>RT-2 (STRA13-2RV)  5’-GGAAGCTCAGGCTAGCTCAT-3’</t>
  </si>
  <si>
    <t xml:space="preserve">RT-3 (STRA13-NEO1) 5’-TCGATTCCACCGCCGCCTTCTATG-3’ </t>
  </si>
  <si>
    <t>Image</t>
  </si>
  <si>
    <t>PlzF Cre</t>
  </si>
  <si>
    <t>LacZ</t>
  </si>
  <si>
    <t>USP1 Gen</t>
  </si>
  <si>
    <t>LacZ R1-</t>
  </si>
  <si>
    <t>TCF4 WT</t>
  </si>
  <si>
    <t>TCF4 Mut</t>
  </si>
  <si>
    <t>3. Incubate at 60°C for 0:30</t>
  </si>
  <si>
    <t>5x buffer</t>
  </si>
  <si>
    <t>MgCl2</t>
  </si>
  <si>
    <t>DNTP</t>
  </si>
  <si>
    <t>DMSO</t>
  </si>
  <si>
    <t>P1</t>
  </si>
  <si>
    <t>P2</t>
  </si>
  <si>
    <t>Taq</t>
  </si>
  <si>
    <t>H20</t>
  </si>
  <si>
    <t>DNA</t>
  </si>
  <si>
    <t>x1</t>
  </si>
  <si>
    <t>Total</t>
  </si>
  <si>
    <t>dLCK cre</t>
  </si>
  <si>
    <t>cre reporter</t>
  </si>
  <si>
    <t>10x buffer</t>
  </si>
  <si>
    <t>B-ine</t>
  </si>
  <si>
    <t>P3</t>
  </si>
  <si>
    <t>P4</t>
  </si>
  <si>
    <t xml:space="preserve">Id2 f/f </t>
  </si>
  <si>
    <t>OT-1</t>
  </si>
  <si>
    <t>Bhlhe40 WT</t>
  </si>
  <si>
    <t>RT-1</t>
  </si>
  <si>
    <t>RT-2</t>
  </si>
  <si>
    <t>Bhlhe40 KO</t>
  </si>
  <si>
    <t>RT-3</t>
  </si>
  <si>
    <t>Tbetflox</t>
  </si>
  <si>
    <t>Zeb2 flox</t>
  </si>
  <si>
    <t>E2A flox</t>
  </si>
  <si>
    <t>Heb flox</t>
  </si>
  <si>
    <t>Id3flox</t>
  </si>
  <si>
    <t>Folder</t>
  </si>
  <si>
    <t>PCR name</t>
  </si>
  <si>
    <t>PCR cycle</t>
  </si>
  <si>
    <t>Primer Squence</t>
  </si>
  <si>
    <t>Band Size</t>
  </si>
  <si>
    <t>ID3flox</t>
  </si>
  <si>
    <t>1. Incubate at 94°C for 4:00</t>
  </si>
  <si>
    <t>2. Incubate at 94°C for 0:30</t>
  </si>
  <si>
    <t>3. Incubate at 55°C for 0:30</t>
  </si>
  <si>
    <t>4. Incubate at 72°C for 0:45</t>
  </si>
  <si>
    <t>5. Cycle to step 2, 35 times</t>
  </si>
  <si>
    <t>6. Incubate at 72°C for 3:00</t>
  </si>
  <si>
    <t>ID3flox F- GCTCTGAGGTCATAAATCCC</t>
  </si>
  <si>
    <t>ID3flox R- CCATTTGGTTCTATGTATGCCCGTG</t>
  </si>
  <si>
    <t>Kyla</t>
  </si>
  <si>
    <t>55 P14</t>
  </si>
  <si>
    <t xml:space="preserve">Vbeta8-
Cbeta2-
</t>
  </si>
  <si>
    <t>1. Incubate at 95°C for 3:00</t>
  </si>
  <si>
    <t>2. Incubate at 94°C for 1:00</t>
  </si>
  <si>
    <t>3. Incubate at 55°C for 1:00</t>
  </si>
  <si>
    <t>4. Incubate at 72°C for 1:00</t>
  </si>
  <si>
    <t>5. Cycle to step 2, 34 times</t>
  </si>
  <si>
    <t>P14</t>
  </si>
  <si>
    <t>Cre</t>
  </si>
  <si>
    <t>1. Incubate at 94°C for 3:00</t>
  </si>
  <si>
    <t>3. Incubate at 51°C for 0:30</t>
  </si>
  <si>
    <t>4. Incubate at 72°C for 0:30</t>
  </si>
  <si>
    <t>6. Incubate at 72°C for 5:00</t>
  </si>
  <si>
    <t>FOXO1</t>
  </si>
  <si>
    <t>1. Incubate at 94°C for 5:00</t>
  </si>
  <si>
    <t>2. Incubate at 95°C for 0:30</t>
  </si>
  <si>
    <t>3. Incubate at 58°C for 0:30</t>
  </si>
  <si>
    <t>10. Incubate at 72°C for 5:00</t>
  </si>
  <si>
    <t>ER cre</t>
    <phoneticPr fontId="6" type="noConversion"/>
  </si>
  <si>
    <t>4. Incubate at 72°C for 0:20</t>
  </si>
  <si>
    <t>6. Incubate at 72°C for 7:00</t>
  </si>
  <si>
    <t>Dlck Cre</t>
  </si>
  <si>
    <t>300bp</t>
  </si>
  <si>
    <t>Dlck cre F- atggtgcccaagaagaagag</t>
  </si>
  <si>
    <t>Dlck cre R- caggtgctgttggatggtct</t>
  </si>
  <si>
    <t>Cre rep</t>
  </si>
  <si>
    <t>2. Incubate at 94°C for 0:20</t>
  </si>
  <si>
    <t>3. Incubate at 62°C for 0:30</t>
  </si>
  <si>
    <t>6. Incubate at 72°C for 2:00</t>
  </si>
  <si>
    <t>WT- 200bp</t>
  </si>
  <si>
    <t>KO- 800bp</t>
  </si>
  <si>
    <t>Heb KO</t>
  </si>
  <si>
    <t>NKT</t>
  </si>
  <si>
    <t>3. Incubate at 56°C for 0:30</t>
  </si>
  <si>
    <t>Va14 geno F (iNKT)- CTAAGCACAGCACGCTGCACA</t>
  </si>
  <si>
    <t>Va14 geno R (iNKT)- CAGGTATGACAATCAGCTGAGTCC</t>
  </si>
  <si>
    <t>135bp</t>
  </si>
  <si>
    <t>WT~500bp</t>
  </si>
  <si>
    <t>Flox~600bp</t>
  </si>
  <si>
    <t>Het- 297 and 199bp</t>
  </si>
  <si>
    <t>Genotype</t>
    <phoneticPr fontId="6" type="noConversion"/>
  </si>
  <si>
    <t>Primers used</t>
    <phoneticPr fontId="6" type="noConversion"/>
  </si>
  <si>
    <t>Expectation</t>
    <phoneticPr fontId="6" type="noConversion"/>
  </si>
  <si>
    <t>FLP'd and un-FLP'd alleles</t>
    <phoneticPr fontId="6" type="noConversion"/>
  </si>
  <si>
    <t>6. Incubate at 72°C for 10:00</t>
  </si>
  <si>
    <t>HEBflox F- CTG GGA CAG AAG TTC AGC ACT TAG TAC</t>
  </si>
  <si>
    <t>HEBflox R- CAT TCC TAT ACA TCA GCT TCT TGG ACG</t>
  </si>
  <si>
    <t>Deleted-0.5kb</t>
  </si>
  <si>
    <t>Flox- 1.3kb</t>
  </si>
  <si>
    <t>WT- 1.1kb</t>
  </si>
  <si>
    <t>E2Aflox</t>
  </si>
  <si>
    <t>3. Incubate at 65°C for 0:30</t>
  </si>
  <si>
    <t>5. Cycle to step 2, 39 times</t>
  </si>
  <si>
    <t>E2Aflox F1- GCCACCAGCACATCGTGCCTA</t>
  </si>
  <si>
    <t>E2Aflox R3- CCACATAAGAGGGCATGGAAG</t>
  </si>
  <si>
    <t>YZ150- ACATGGCTGAATATCGACGGT</t>
  </si>
  <si>
    <t>WT band- 850bp</t>
  </si>
  <si>
    <t>flox band- 1kb</t>
  </si>
  <si>
    <t>Adam</t>
  </si>
  <si>
    <t>Zeb Geno</t>
  </si>
  <si>
    <t>3. Incubate at 59°C for 1:00</t>
  </si>
  <si>
    <t>Sip1 geno P1 F-GAGCAGGTAACCGCAAGTTCAAGTG</t>
  </si>
  <si>
    <t>Sip1 geno P2 R- CTGTAGGACCCAGAATGAGAGAAGC</t>
  </si>
  <si>
    <t>Sip1 geno P3 R- ATCGGAGTCTGTCATGTCATCTAGG</t>
  </si>
  <si>
    <t>Cliff</t>
  </si>
  <si>
    <t>Tbet</t>
  </si>
  <si>
    <t>3. Incubate at 94°C for 0:30</t>
  </si>
  <si>
    <t>4. Incubate at 60°C for 0:30</t>
  </si>
  <si>
    <t>5.Incubate at 72° C for 0:30</t>
  </si>
  <si>
    <t>6. Cycle to step 2, 35 times</t>
  </si>
  <si>
    <t>7.Incubate at 10°C for 1:00</t>
  </si>
  <si>
    <t>Tbet IMR 1717- gcgcgaaggggccaccaaagaacggag</t>
  </si>
  <si>
    <t>Tbet IMR 1718- gactgaagccccgacccccactcctaag</t>
  </si>
  <si>
    <t>Tbet IMR 1719-tgggcatacaggaggcagcaacaaata</t>
  </si>
  <si>
    <t>Vb5 F- AAGGTGGAGAGAGACAAAGGA</t>
  </si>
  <si>
    <t>Vb5 R- CCAGTGCATGCATACCTCAG</t>
  </si>
  <si>
    <t>Laura</t>
  </si>
  <si>
    <t>Stra13 (Bhlhe40)</t>
  </si>
  <si>
    <t>WT and KO- 380-400bp</t>
  </si>
  <si>
    <t>7.Incubate at 10°C forever</t>
  </si>
  <si>
    <t>oIMR9020- AAG GGA GCT GCA GTG GAG TA</t>
  </si>
  <si>
    <t>oIMR9021- CCG AAA ATC TGT GGG AAG TC</t>
  </si>
  <si>
    <t>oIMR9103- GGC ATT AAA GCA GCG TAT CC</t>
  </si>
  <si>
    <t xml:space="preserve">Flp_deleted_3_F, FLP_4_R </t>
    <phoneticPr fontId="6" type="noConversion"/>
  </si>
  <si>
    <t>~780bp bad if rearranged allel is present and no band otherwise</t>
    <phoneticPr fontId="6" type="noConversion"/>
  </si>
  <si>
    <t xml:space="preserve">FLP_4_R, FLP_4_F </t>
    <phoneticPr fontId="6" type="noConversion"/>
  </si>
  <si>
    <t>Primer name</t>
    <phoneticPr fontId="6" type="noConversion"/>
  </si>
  <si>
    <t>Sequence</t>
    <phoneticPr fontId="6" type="noConversion"/>
  </si>
  <si>
    <r>
      <t>Flp_deleted_3_F</t>
    </r>
    <r>
      <rPr>
        <sz val="12"/>
        <color indexed="8"/>
        <rFont val="Cambria"/>
      </rPr>
      <t xml:space="preserve"> </t>
    </r>
  </si>
  <si>
    <t>ATCCTGCCTTTTATCCTCTTT</t>
    <phoneticPr fontId="6" type="noConversion"/>
  </si>
  <si>
    <r>
      <t>FLP_4_R</t>
    </r>
    <r>
      <rPr>
        <sz val="12"/>
        <color indexed="8"/>
        <rFont val="Cambria"/>
      </rPr>
      <t xml:space="preserve"> </t>
    </r>
  </si>
  <si>
    <t>CCCTGGACCTATGAAGGCG</t>
    <phoneticPr fontId="6" type="noConversion"/>
  </si>
  <si>
    <r>
      <t>FLP_4_F</t>
    </r>
    <r>
      <rPr>
        <sz val="12"/>
        <rFont val="Cambria"/>
      </rPr>
      <t xml:space="preserve"> </t>
    </r>
    <phoneticPr fontId="6" type="noConversion"/>
  </si>
  <si>
    <t>CACTCACCATTTATTTAGTGGCAAAAG</t>
  </si>
  <si>
    <t>Gives a band of ~390 bp if either the FLP’d OR Un-FLP’d allele is present. There is also a non-specific band at ~600 bp you can ignore.</t>
    <phoneticPr fontId="6" type="noConversion"/>
  </si>
  <si>
    <t>ID2KI_CRE_F_3</t>
    <phoneticPr fontId="6" type="noConversion"/>
  </si>
  <si>
    <t>ACTTTATACGAAGTTATATGTGAAATCGCT</t>
  </si>
  <si>
    <t xml:space="preserve">ID2KI_CRE_R_3 </t>
  </si>
  <si>
    <t>GAAGTTATGATCTAAGGCACCCG</t>
  </si>
  <si>
    <t>Cre-rearranged alleles</t>
  </si>
  <si>
    <t>ID2KI_CRE_F_3, ID2KI_CRE_R_3</t>
  </si>
  <si>
    <t>This reaction gives a band of ~620 bp. There are also a few nonspecific bands that show up occasionally.</t>
  </si>
  <si>
    <t xml:space="preserve">Id2/3_Geno_R_2 </t>
  </si>
  <si>
    <t>TAAGGCTCGGGGTAGCC</t>
  </si>
  <si>
    <t xml:space="preserve">WT allele </t>
  </si>
  <si>
    <t>Gives a band of ~490 bp. This reaction does not amplify the KI allele.</t>
  </si>
  <si>
    <t>6. Incubate at 72°C for 5:00</t>
    <phoneticPr fontId="6" type="noConversion"/>
  </si>
  <si>
    <t>TCF4 WT F-CCGATGACAGTGATGATGGT</t>
  </si>
  <si>
    <t>TCF4 WT R-AAGTTAAGCTGAAGTAAATACCCACA</t>
  </si>
  <si>
    <t>TCF4 MUT F-CCGATGACAGTGATGATGGT</t>
  </si>
  <si>
    <t>TCF4 Mut R-TCGTGGTATCGTTATGCGCC</t>
  </si>
  <si>
    <t>10x NEB buffer</t>
  </si>
  <si>
    <t>NEB Taq</t>
  </si>
  <si>
    <t>FOR LACZ PCR NEED TO USE NEB TAQ AS OUR LAB STOCK IS CONTAMINATED WITH LACZ AND ALL PCRS WILL BE POSITIVE</t>
  </si>
  <si>
    <t>172bp</t>
  </si>
  <si>
    <t>371bp</t>
  </si>
  <si>
    <t>Tm1c</t>
  </si>
  <si>
    <t>FRT</t>
  </si>
  <si>
    <t>204bp</t>
  </si>
  <si>
    <t>218bp</t>
  </si>
  <si>
    <t>Tm1c_F-AAGGCGCATAACGATACCAC</t>
  </si>
  <si>
    <t>Tm1c_R-CCGCCTACTGCGACTATAGAGA</t>
  </si>
  <si>
    <t>5FRT_F-AGGCGCATAACGATACCACGAT</t>
  </si>
  <si>
    <t>5FRT_R-CCACAACGGGTTCTTCTGTT</t>
  </si>
  <si>
    <t>E2-2 GEN</t>
  </si>
  <si>
    <t>LacZ F2-GAGTTGCGTGACTACCTACGG</t>
  </si>
  <si>
    <t>USP1 1</t>
  </si>
  <si>
    <t>common-LoxPF</t>
  </si>
  <si>
    <t>USP1 intron3-4RA</t>
  </si>
  <si>
    <t>161bp</t>
  </si>
  <si>
    <t>USP1 2</t>
  </si>
  <si>
    <t>USP1 3</t>
  </si>
  <si>
    <t>USP1intron2-3FA</t>
  </si>
  <si>
    <t>commonen2R</t>
  </si>
  <si>
    <t>USP1intron3-4RA</t>
  </si>
  <si>
    <t>944bp</t>
  </si>
  <si>
    <t>common3'F</t>
  </si>
  <si>
    <t>USP1 4</t>
  </si>
  <si>
    <t>USP1 intron2-3FA</t>
  </si>
  <si>
    <t>858bp</t>
  </si>
  <si>
    <t>4. Incubate at 72°C for 0:40</t>
  </si>
  <si>
    <t>5. Cycle to step 2, 10 times (decrease 1°C/cycle)</t>
  </si>
  <si>
    <t>6. Incubate at 94°C for 0:15</t>
  </si>
  <si>
    <t>7. Incubate at 55°C for 0:30</t>
  </si>
  <si>
    <t>8. Incubate at 72°C for 0:40</t>
  </si>
  <si>
    <t xml:space="preserve">9. Cycle to step 6, 30 times </t>
  </si>
  <si>
    <r>
      <t>(5</t>
    </r>
    <r>
      <rPr>
        <sz val="11"/>
        <color indexed="63"/>
        <rFont val="Arial"/>
      </rPr>
      <t>′</t>
    </r>
    <r>
      <rPr>
        <sz val="11"/>
        <color indexed="63"/>
        <rFont val="Calibri"/>
      </rPr>
      <t>-CTGACTTCCACTGATGCTTGTCACAG-3</t>
    </r>
    <r>
      <rPr>
        <sz val="11"/>
        <color indexed="63"/>
        <rFont val="Arial"/>
      </rPr>
      <t>′</t>
    </r>
    <r>
      <rPr>
        <sz val="11"/>
        <color indexed="63"/>
        <rFont val="Calibri"/>
      </rPr>
      <t>)</t>
    </r>
  </si>
  <si>
    <t>PCR Program: Anthony -&gt; VHLHIF</t>
    <phoneticPr fontId="6" type="noConversion"/>
  </si>
  <si>
    <t>VHL Flox</t>
    <phoneticPr fontId="6" type="noConversion"/>
  </si>
  <si>
    <t>PCR Program: Anthony -&gt; VHLHIF</t>
    <phoneticPr fontId="6" type="noConversion"/>
  </si>
  <si>
    <r>
      <t>25 mM MgCl</t>
    </r>
    <r>
      <rPr>
        <vertAlign val="subscript"/>
        <sz val="11"/>
        <rFont val="Calibri"/>
      </rPr>
      <t>2</t>
    </r>
  </si>
  <si>
    <r>
      <t>H</t>
    </r>
    <r>
      <rPr>
        <vertAlign val="subscript"/>
        <sz val="11"/>
        <rFont val="Calibri"/>
      </rPr>
      <t>2</t>
    </r>
    <r>
      <rPr>
        <sz val="11"/>
        <rFont val="Calibri"/>
      </rPr>
      <t>O</t>
    </r>
  </si>
  <si>
    <t>hif1a flox</t>
  </si>
  <si>
    <t>Fwd1</t>
  </si>
  <si>
    <t>TTGGGGATGAAAACATCTGC</t>
  </si>
  <si>
    <t xml:space="preserve">Fwd2 </t>
  </si>
  <si>
    <t>GCAGTTAAGAGCACTAGTTG</t>
  </si>
  <si>
    <t xml:space="preserve">Rev </t>
  </si>
  <si>
    <t>GGAGCTATCTCTCTAGACC</t>
  </si>
  <si>
    <t>Template (25μL per sample)</t>
    <phoneticPr fontId="6" type="noConversion"/>
  </si>
  <si>
    <t>Fwd1, Fwd2, Rev</t>
    <phoneticPr fontId="6" type="noConversion"/>
  </si>
  <si>
    <t xml:space="preserve">F (VHL – 1): </t>
  </si>
  <si>
    <t xml:space="preserve">R (VHL – 2): </t>
  </si>
  <si>
    <t>Template (25μL per sample)</t>
    <phoneticPr fontId="6" type="noConversion"/>
  </si>
  <si>
    <t>Primer name</t>
    <phoneticPr fontId="6" type="noConversion"/>
  </si>
  <si>
    <t>Sequence</t>
    <phoneticPr fontId="6" type="noConversion"/>
  </si>
  <si>
    <t>Genotype</t>
    <phoneticPr fontId="6" type="noConversion"/>
  </si>
  <si>
    <t>Primers used</t>
    <phoneticPr fontId="6" type="noConversion"/>
  </si>
  <si>
    <t>Expectation</t>
    <phoneticPr fontId="6" type="noConversion"/>
  </si>
  <si>
    <t>Comments</t>
    <phoneticPr fontId="6" type="noConversion"/>
  </si>
  <si>
    <t>Rev primer</t>
    <phoneticPr fontId="6" type="noConversion"/>
  </si>
  <si>
    <t>Template (25μL per sample)</t>
    <phoneticPr fontId="6" type="noConversion"/>
  </si>
  <si>
    <r>
      <t>1-</t>
    </r>
    <r>
      <rPr>
        <i/>
        <sz val="12"/>
        <color indexed="63"/>
        <rFont val="Calibri"/>
      </rPr>
      <t>lox</t>
    </r>
    <r>
      <rPr>
        <sz val="12"/>
        <color indexed="63"/>
        <rFont val="Calibri"/>
      </rPr>
      <t> and 2-</t>
    </r>
    <r>
      <rPr>
        <i/>
        <sz val="12"/>
        <color indexed="63"/>
        <rFont val="Calibri"/>
      </rPr>
      <t>lox</t>
    </r>
    <r>
      <rPr>
        <sz val="12"/>
        <color indexed="63"/>
        <rFont val="Calibri"/>
      </rPr>
      <t xml:space="preserve"> alleles </t>
    </r>
    <phoneticPr fontId="6" type="noConversion"/>
  </si>
  <si>
    <t>Vhlh: FwdI, FwdII, Rev primer</t>
    <phoneticPr fontId="6" type="noConversion"/>
  </si>
  <si>
    <r>
      <t>The </t>
    </r>
    <r>
      <rPr>
        <i/>
        <sz val="12"/>
        <color indexed="63"/>
        <rFont val="Calibri"/>
      </rPr>
      <t>Vhlh</t>
    </r>
    <r>
      <rPr>
        <sz val="12"/>
        <color indexed="63"/>
        <rFont val="Calibri"/>
      </rPr>
      <t> 2-</t>
    </r>
    <r>
      <rPr>
        <i/>
        <sz val="12"/>
        <color indexed="63"/>
        <rFont val="Calibri"/>
      </rPr>
      <t>lox</t>
    </r>
    <r>
      <rPr>
        <sz val="12"/>
        <color indexed="63"/>
        <rFont val="Calibri"/>
      </rPr>
      <t xml:space="preserve"> allele was identified as a </t>
    </r>
    <r>
      <rPr>
        <sz val="12"/>
        <color indexed="63"/>
        <rFont val="Lucida Sans Unicode"/>
        <charset val="204"/>
      </rPr>
      <t>∼</t>
    </r>
    <r>
      <rPr>
        <sz val="12"/>
        <color indexed="63"/>
        <rFont val="Calibri"/>
      </rPr>
      <t>460-bp band, the 1-</t>
    </r>
    <r>
      <rPr>
        <i/>
        <sz val="12"/>
        <color indexed="63"/>
        <rFont val="Calibri"/>
      </rPr>
      <t>lox</t>
    </r>
    <r>
      <rPr>
        <sz val="12"/>
        <color indexed="63"/>
        <rFont val="Calibri"/>
      </rPr>
      <t xml:space="preserve"> allele was detected as a </t>
    </r>
    <r>
      <rPr>
        <sz val="12"/>
        <color indexed="63"/>
        <rFont val="Lucida Sans Unicode"/>
        <charset val="204"/>
      </rPr>
      <t>∼</t>
    </r>
    <r>
      <rPr>
        <sz val="12"/>
        <color indexed="63"/>
        <rFont val="Calibri"/>
      </rPr>
      <t xml:space="preserve">260-bp band, and the wild-type allele was detected as a </t>
    </r>
    <r>
      <rPr>
        <sz val="12"/>
        <color indexed="63"/>
        <rFont val="Lucida Sans Unicode"/>
        <charset val="204"/>
      </rPr>
      <t>∼</t>
    </r>
    <r>
      <rPr>
        <sz val="12"/>
        <color indexed="63"/>
        <rFont val="Calibri"/>
      </rPr>
      <t>290-bp band.</t>
    </r>
    <phoneticPr fontId="6" type="noConversion"/>
  </si>
  <si>
    <t>1. Incubate at 95°C for 3:00</t>
    <phoneticPr fontId="6" type="noConversion"/>
  </si>
  <si>
    <t>2. Incubate at 95°C for 0:30</t>
    <phoneticPr fontId="6" type="noConversion"/>
  </si>
  <si>
    <t>3. Incubate at 52°C for 0:30</t>
  </si>
  <si>
    <t>3. Incubate at 52°C for 0:30</t>
    <phoneticPr fontId="6" type="noConversion"/>
  </si>
  <si>
    <t>4. Incubate at 72°C for 1:00</t>
    <phoneticPr fontId="6" type="noConversion"/>
  </si>
  <si>
    <t>5. Cycle to step 2, 38 times</t>
  </si>
  <si>
    <t>5. Cycle to step 2, 38 times</t>
    <phoneticPr fontId="6" type="noConversion"/>
  </si>
  <si>
    <t xml:space="preserve">Id2/3_Geno_Wt_F_2 </t>
  </si>
  <si>
    <t>Primer name</t>
    <phoneticPr fontId="6" type="noConversion"/>
  </si>
  <si>
    <t>Sequence</t>
    <phoneticPr fontId="6" type="noConversion"/>
  </si>
  <si>
    <t>Genotype</t>
    <phoneticPr fontId="6" type="noConversion"/>
  </si>
  <si>
    <t>Primers used</t>
    <phoneticPr fontId="6" type="noConversion"/>
  </si>
  <si>
    <t>Expectation</t>
    <phoneticPr fontId="6" type="noConversion"/>
  </si>
  <si>
    <t>CCTTTTATCCTCTTTCTCCCCAGG</t>
    <phoneticPr fontId="6" type="noConversion"/>
  </si>
  <si>
    <t xml:space="preserve">Id2/3_Geno_Wt_F_2, Id2/3_Geno_R_2 </t>
    <phoneticPr fontId="6" type="noConversion"/>
  </si>
  <si>
    <t>5X GoTaq Buffer</t>
  </si>
  <si>
    <t>Lid Control Mode: Constant at 100°C</t>
  </si>
  <si>
    <t>1. Incubate at 94°C for 02:00</t>
  </si>
  <si>
    <t>10 μM Primer F</t>
  </si>
  <si>
    <t>2. Incubate at 94°C for 00:50</t>
  </si>
  <si>
    <t>10 μM Primer R</t>
  </si>
  <si>
    <t>3. Incubate at 57°C for 00:50</t>
  </si>
  <si>
    <t>40 mM dNTPs</t>
  </si>
  <si>
    <t>4. Incubate at 72°C for 01:00</t>
  </si>
  <si>
    <t>5. Cycle to step 2 for 36 more times</t>
  </si>
  <si>
    <t>5 U/μL Taq</t>
  </si>
  <si>
    <t>6. Incubate at 25°C forever</t>
  </si>
  <si>
    <r>
      <t>25 mM MgCl</t>
    </r>
    <r>
      <rPr>
        <vertAlign val="subscript"/>
        <sz val="12"/>
        <rFont val="Calibri"/>
      </rPr>
      <t>2</t>
    </r>
  </si>
  <si>
    <r>
      <t>H</t>
    </r>
    <r>
      <rPr>
        <vertAlign val="subscript"/>
        <sz val="12"/>
        <rFont val="Calibri"/>
      </rPr>
      <t>2</t>
    </r>
    <r>
      <rPr>
        <sz val="12"/>
        <rFont val="Calibri"/>
      </rPr>
      <t>O</t>
    </r>
  </si>
  <si>
    <t>Vhlh: FwdI</t>
  </si>
  <si>
    <t>CTGGTACCCACGAAACTGTC</t>
  </si>
  <si>
    <t>CTAGGCACCGAGCTTAGAGGTTTGCG</t>
  </si>
  <si>
    <t>CTGACTTCCACTGATGCTTGT CACAG</t>
  </si>
  <si>
    <t>Andrew ordered truncated versions of these primers, which are different than the genotyping primers suggested on the jax website. These are labeled as hif2380, hif2 381, and hif2430. Have had issues with these primers so will order the Jax pair of primers as well, will label these HIF2FJax and HIF2RJax.</t>
    <phoneticPr fontId="6" type="noConversion"/>
  </si>
  <si>
    <t>P3</t>
    <phoneticPr fontId="6" type="noConversion"/>
  </si>
  <si>
    <t>HIF2FJax</t>
    <phoneticPr fontId="6" type="noConversion"/>
  </si>
  <si>
    <t>HIF2a Flox</t>
    <phoneticPr fontId="6" type="noConversion"/>
  </si>
  <si>
    <r>
      <t xml:space="preserve">F (Hif2FJax): </t>
    </r>
    <r>
      <rPr>
        <sz val="11"/>
        <color indexed="63"/>
        <rFont val="Calibri"/>
      </rPr>
      <t>(</t>
    </r>
    <r>
      <rPr>
        <sz val="11"/>
        <rFont val="Calibri"/>
      </rPr>
      <t>5’-GAGAGCAGCTTCTCCTGGAA-3’)</t>
    </r>
  </si>
  <si>
    <r>
      <t xml:space="preserve">R (Hif2RJax): </t>
    </r>
    <r>
      <rPr>
        <sz val="11"/>
        <color indexed="63"/>
        <rFont val="Calibri"/>
      </rPr>
      <t>(</t>
    </r>
    <r>
      <rPr>
        <sz val="11"/>
        <rFont val="Calibri"/>
      </rPr>
      <t>5’-TGTAGGCAAGGAAACCAAGG-3’)</t>
    </r>
  </si>
  <si>
    <t>PCR Program: Anthony -&gt; HIF2AJAX</t>
    <phoneticPr fontId="6" type="noConversion"/>
  </si>
  <si>
    <t>Lid Control Mode: Constant at 100°C</t>
    <phoneticPr fontId="6" type="noConversion"/>
  </si>
  <si>
    <t>5. Cycle to step 2 for 30 more times</t>
    <phoneticPr fontId="6" type="noConversion"/>
  </si>
  <si>
    <t>GAG AGC AGC TTC TCC TGG AA</t>
  </si>
  <si>
    <t>HIF2RJax</t>
  </si>
  <si>
    <t>TGT AGG CAA GGA AAC CAA GG</t>
  </si>
  <si>
    <t>1. Incubate at 94°C for 03:00</t>
    <phoneticPr fontId="6" type="noConversion"/>
  </si>
  <si>
    <t>2. Incubate at 94°C for 00:30</t>
    <phoneticPr fontId="6" type="noConversion"/>
  </si>
  <si>
    <t>3. Incubate at 59°C for 01:00</t>
    <phoneticPr fontId="6" type="noConversion"/>
  </si>
  <si>
    <t>6. Incubate at 15°C forever</t>
    <phoneticPr fontId="6" type="noConversion"/>
  </si>
  <si>
    <t>P1</t>
    <phoneticPr fontId="6" type="noConversion"/>
  </si>
  <si>
    <t>P1, P2, P3</t>
    <phoneticPr fontId="6" type="noConversion"/>
  </si>
  <si>
    <t>Same for the HIF1a PCR, Fwd1 is not being used, we for some reason do not check for the 1-lox allele which is approximately 270 bp</t>
    <phoneticPr fontId="6" type="noConversion"/>
  </si>
  <si>
    <t>P2</t>
    <phoneticPr fontId="6" type="noConversion"/>
  </si>
  <si>
    <t>HIF2FJax, HIF2RJax</t>
    <phoneticPr fontId="6" type="noConversion"/>
  </si>
  <si>
    <t>Yields different band sizes as follows: Mutant = ~220 bp, Heterozygote = 182 bp and ~220 bp, Wild type = 182 bp. PCR Protocol 94, 59, 72</t>
    <phoneticPr fontId="6" type="noConversion"/>
  </si>
  <si>
    <r>
      <t xml:space="preserve">The wild-type allele was identified as a </t>
    </r>
    <r>
      <rPr>
        <sz val="11"/>
        <color indexed="63"/>
        <rFont val="Lucida Sans Unicode"/>
        <charset val="204"/>
      </rPr>
      <t>∼</t>
    </r>
    <r>
      <rPr>
        <sz val="11"/>
        <color indexed="63"/>
        <rFont val="Calibri"/>
      </rPr>
      <t>240-bp band, the 2-</t>
    </r>
    <r>
      <rPr>
        <i/>
        <sz val="11"/>
        <color indexed="63"/>
        <rFont val="Calibri"/>
      </rPr>
      <t>lox</t>
    </r>
    <r>
      <rPr>
        <sz val="11"/>
        <color indexed="63"/>
        <rFont val="Calibri"/>
      </rPr>
      <t xml:space="preserve"> allele was detected as a </t>
    </r>
    <r>
      <rPr>
        <sz val="11"/>
        <color indexed="63"/>
        <rFont val="Lucida Sans Unicode"/>
        <charset val="204"/>
      </rPr>
      <t>∼</t>
    </r>
    <r>
      <rPr>
        <sz val="11"/>
        <color indexed="63"/>
        <rFont val="Calibri"/>
      </rPr>
      <t>260-bp band, and 1-</t>
    </r>
    <r>
      <rPr>
        <i/>
        <sz val="11"/>
        <color indexed="63"/>
        <rFont val="Calibri"/>
      </rPr>
      <t>lox</t>
    </r>
    <r>
      <rPr>
        <sz val="11"/>
        <color indexed="63"/>
        <rFont val="Calibri"/>
      </rPr>
      <t xml:space="preserve">allele was detected as a </t>
    </r>
    <r>
      <rPr>
        <sz val="11"/>
        <color indexed="63"/>
        <rFont val="Lucida Sans Unicode"/>
        <charset val="204"/>
      </rPr>
      <t>∼</t>
    </r>
    <r>
      <rPr>
        <sz val="11"/>
        <color indexed="63"/>
        <rFont val="Calibri"/>
      </rPr>
      <t>270-bp band.</t>
    </r>
  </si>
  <si>
    <t>hif2a flox</t>
  </si>
  <si>
    <t>The WT allele produces a 410-bp fragment (P1 and P2), the 2-loxP allele produces a 444-bp fragment (P1 and P2), and the 1-loxP allele produces a 340-bp fragment (P1 and P3)</t>
  </si>
  <si>
    <t>CAGGCAGTATGCCTGGCTAATTCCAGTT</t>
  </si>
  <si>
    <t>CTTCTTCCATCATCTGGGATCTGGGACT</t>
  </si>
  <si>
    <t>GCTAACACTGTACTGTCTGAAAGAGTAGC</t>
  </si>
  <si>
    <t>For some reason we only use FwdII and Rev primers. I assume because we’re not attempting to detect the ~260 bp band of the 1-lox allele.</t>
    <phoneticPr fontId="6" type="noConversion"/>
  </si>
  <si>
    <t>FwdII</t>
    <phoneticPr fontId="6" type="noConversion"/>
  </si>
  <si>
    <t>VHL Flox</t>
    <phoneticPr fontId="6" type="noConversion"/>
  </si>
  <si>
    <r>
      <t>(5</t>
    </r>
    <r>
      <rPr>
        <sz val="11"/>
        <color indexed="63"/>
        <rFont val="Arial"/>
      </rPr>
      <t>′</t>
    </r>
    <r>
      <rPr>
        <sz val="11"/>
        <color indexed="63"/>
        <rFont val="Calibri"/>
      </rPr>
      <t>-CTAGGCACCGAGCTTAGAGGTTTGCG-3</t>
    </r>
    <r>
      <rPr>
        <sz val="11"/>
        <color indexed="63"/>
        <rFont val="Arial"/>
      </rPr>
      <t>′</t>
    </r>
    <r>
      <rPr>
        <sz val="11"/>
        <color indexed="63"/>
        <rFont val="Calibri"/>
      </rPr>
      <t>)</t>
    </r>
  </si>
</sst>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0">
    <font>
      <sz val="11"/>
      <color theme="1"/>
      <name val="Calibri"/>
      <family val="2"/>
      <scheme val="minor"/>
    </font>
    <font>
      <u/>
      <sz val="11"/>
      <color theme="10"/>
      <name val="Calibri"/>
      <family val="2"/>
      <scheme val="minor"/>
    </font>
    <font>
      <u/>
      <sz val="11"/>
      <color theme="11"/>
      <name val="Calibri"/>
      <family val="2"/>
      <scheme val="minor"/>
    </font>
    <font>
      <sz val="11"/>
      <color rgb="FF000000"/>
      <name val="Calibri"/>
      <family val="2"/>
      <scheme val="minor"/>
    </font>
    <font>
      <sz val="12"/>
      <color rgb="FF000000"/>
      <name val="Calibri"/>
      <family val="2"/>
      <scheme val="minor"/>
    </font>
    <font>
      <sz val="11"/>
      <color indexed="8"/>
      <name val="Calibri"/>
      <family val="2"/>
    </font>
    <font>
      <sz val="8"/>
      <name val="Verdana"/>
    </font>
    <font>
      <sz val="12"/>
      <name val="Times New Roman"/>
    </font>
    <font>
      <sz val="10"/>
      <color indexed="53"/>
      <name val="Verdana"/>
    </font>
    <font>
      <sz val="12"/>
      <color indexed="53"/>
      <name val="Cambria"/>
    </font>
    <font>
      <sz val="12"/>
      <color indexed="8"/>
      <name val="Cambria"/>
    </font>
    <font>
      <b/>
      <sz val="12"/>
      <color indexed="8"/>
      <name val="Cambria"/>
    </font>
    <font>
      <sz val="12"/>
      <name val="Cambria"/>
    </font>
    <font>
      <b/>
      <sz val="12"/>
      <name val="Cambria"/>
    </font>
    <font>
      <sz val="12"/>
      <color indexed="53"/>
      <name val="Calibri"/>
    </font>
    <font>
      <sz val="12"/>
      <name val="Calibri"/>
    </font>
    <font>
      <sz val="12"/>
      <color indexed="8"/>
      <name val="Calibri"/>
      <family val="2"/>
    </font>
    <font>
      <sz val="11"/>
      <color indexed="53"/>
      <name val="Calibri"/>
    </font>
    <font>
      <sz val="11"/>
      <name val="Calibri"/>
    </font>
    <font>
      <b/>
      <sz val="11"/>
      <name val="Calibri"/>
    </font>
    <font>
      <vertAlign val="subscript"/>
      <sz val="12"/>
      <name val="Calibri"/>
    </font>
    <font>
      <sz val="12"/>
      <color indexed="63"/>
      <name val="Lucida Sans Unicode"/>
      <charset val="204"/>
    </font>
    <font>
      <sz val="12"/>
      <color indexed="63"/>
      <name val="Calibri"/>
    </font>
    <font>
      <i/>
      <sz val="12"/>
      <color indexed="63"/>
      <name val="Calibri"/>
    </font>
    <font>
      <sz val="11"/>
      <color indexed="63"/>
      <name val="Arial"/>
    </font>
    <font>
      <sz val="11"/>
      <color indexed="63"/>
      <name val="Calibri"/>
    </font>
    <font>
      <i/>
      <sz val="11"/>
      <color indexed="63"/>
      <name val="Calibri"/>
    </font>
    <font>
      <sz val="11"/>
      <color indexed="63"/>
      <name val="Lucida Sans Unicode"/>
      <charset val="204"/>
    </font>
    <font>
      <vertAlign val="subscript"/>
      <sz val="11"/>
      <name val="Calibri"/>
    </font>
    <font>
      <i/>
      <sz val="11"/>
      <name val="Calibri"/>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68">
    <xf numFmtId="0" fontId="0" fillId="0" borderId="0" xfId="0"/>
    <xf numFmtId="0" fontId="0" fillId="0" borderId="0" xfId="0" applyAlignment="1">
      <alignment wrapText="1"/>
    </xf>
    <xf numFmtId="0" fontId="3" fillId="0" borderId="0" xfId="0" applyFont="1"/>
    <xf numFmtId="0" fontId="3" fillId="0" borderId="0" xfId="0" applyFont="1" applyAlignment="1">
      <alignment wrapText="1"/>
    </xf>
    <xf numFmtId="0" fontId="3" fillId="0" borderId="0" xfId="0" applyFont="1"/>
    <xf numFmtId="0" fontId="0" fillId="0" borderId="0" xfId="0" applyAlignment="1">
      <alignment vertical="top"/>
    </xf>
    <xf numFmtId="0" fontId="0" fillId="0" borderId="0" xfId="0" applyFont="1" applyAlignment="1">
      <alignment vertical="top" wrapText="1"/>
    </xf>
    <xf numFmtId="0" fontId="0" fillId="0" borderId="0" xfId="0" applyAlignment="1">
      <alignment horizontal="center"/>
    </xf>
    <xf numFmtId="0" fontId="0" fillId="0" borderId="0" xfId="0" applyAlignment="1">
      <alignment horizontal="left"/>
    </xf>
    <xf numFmtId="0" fontId="4" fillId="0" borderId="0" xfId="0" applyFont="1"/>
    <xf numFmtId="0" fontId="5" fillId="0" borderId="0" xfId="0" applyFont="1" applyAlignment="1">
      <alignment vertical="center" wrapText="1"/>
    </xf>
    <xf numFmtId="0" fontId="3" fillId="0" borderId="0" xfId="0" applyFont="1" applyAlignment="1"/>
    <xf numFmtId="0" fontId="5" fillId="0" borderId="0" xfId="0" applyFont="1"/>
    <xf numFmtId="0" fontId="8" fillId="0" borderId="1" xfId="0" applyFont="1" applyBorder="1"/>
    <xf numFmtId="0" fontId="9" fillId="0" borderId="1" xfId="0" applyFont="1" applyBorder="1"/>
    <xf numFmtId="0" fontId="0" fillId="0" borderId="1" xfId="0" applyBorder="1" applyAlignment="1"/>
    <xf numFmtId="0" fontId="10" fillId="0" borderId="1" xfId="0" applyFont="1" applyBorder="1"/>
    <xf numFmtId="0" fontId="7" fillId="0" borderId="1" xfId="0" applyFont="1" applyBorder="1"/>
    <xf numFmtId="0" fontId="11" fillId="0" borderId="1" xfId="0" applyFont="1" applyBorder="1"/>
    <xf numFmtId="0" fontId="12" fillId="0" borderId="1" xfId="0" applyFont="1" applyBorder="1"/>
    <xf numFmtId="0" fontId="13" fillId="0" borderId="1" xfId="0" applyFont="1" applyBorder="1"/>
    <xf numFmtId="0" fontId="0" fillId="0" borderId="1" xfId="0" applyBorder="1" applyAlignment="1">
      <alignment horizontal="fill"/>
    </xf>
    <xf numFmtId="0" fontId="7" fillId="0" borderId="1" xfId="0" applyFont="1" applyBorder="1" applyAlignment="1">
      <alignment horizontal="fill"/>
    </xf>
    <xf numFmtId="0" fontId="7" fillId="0" borderId="0" xfId="0" applyFont="1" applyAlignment="1">
      <alignment horizontal="fill"/>
    </xf>
    <xf numFmtId="0" fontId="13" fillId="0" borderId="0" xfId="0" applyFont="1" applyBorder="1"/>
    <xf numFmtId="0" fontId="12" fillId="0" borderId="0" xfId="0" applyFont="1" applyBorder="1"/>
    <xf numFmtId="0" fontId="12" fillId="0" borderId="2" xfId="0" applyFont="1" applyBorder="1"/>
    <xf numFmtId="0" fontId="0" fillId="0" borderId="0" xfId="0" applyBorder="1" applyAlignment="1"/>
    <xf numFmtId="0" fontId="10" fillId="0" borderId="0" xfId="0" applyFont="1" applyBorder="1"/>
    <xf numFmtId="0" fontId="7" fillId="0" borderId="0" xfId="0" applyFont="1" applyBorder="1" applyAlignment="1">
      <alignment horizontal="fill"/>
    </xf>
    <xf numFmtId="0" fontId="5" fillId="0" borderId="0" xfId="0" applyFont="1" applyAlignment="1">
      <alignment horizontal="left"/>
    </xf>
    <xf numFmtId="0" fontId="5" fillId="0" borderId="0" xfId="0" applyFont="1" applyAlignment="1">
      <alignment wrapText="1"/>
    </xf>
    <xf numFmtId="0" fontId="14" fillId="0" borderId="1" xfId="0" applyFont="1" applyBorder="1"/>
    <xf numFmtId="0" fontId="5" fillId="0" borderId="0" xfId="0" applyFont="1" applyBorder="1" applyAlignment="1"/>
    <xf numFmtId="0" fontId="16" fillId="0" borderId="0" xfId="0" applyFont="1" applyBorder="1"/>
    <xf numFmtId="0" fontId="17" fillId="0" borderId="1" xfId="0" applyFont="1" applyBorder="1"/>
    <xf numFmtId="0" fontId="18" fillId="0" borderId="1" xfId="0" applyFont="1" applyBorder="1"/>
    <xf numFmtId="0" fontId="5" fillId="0" borderId="0" xfId="0" applyFont="1" applyBorder="1"/>
    <xf numFmtId="0" fontId="18" fillId="0" borderId="0" xfId="0" applyFont="1" applyBorder="1" applyAlignment="1">
      <alignment horizontal="fill"/>
    </xf>
    <xf numFmtId="0" fontId="19" fillId="0" borderId="0" xfId="0" applyFont="1" applyBorder="1"/>
    <xf numFmtId="0" fontId="18" fillId="0" borderId="0" xfId="0" applyFont="1" applyBorder="1"/>
    <xf numFmtId="0" fontId="15" fillId="0" borderId="0" xfId="0" applyFont="1" applyBorder="1" applyAlignment="1">
      <alignment horizontal="center" wrapText="1"/>
    </xf>
    <xf numFmtId="0" fontId="15" fillId="0" borderId="0" xfId="0" applyFont="1" applyBorder="1" applyAlignment="1">
      <alignment wrapText="1"/>
    </xf>
    <xf numFmtId="0" fontId="0" fillId="0" borderId="0" xfId="0" applyBorder="1"/>
    <xf numFmtId="0" fontId="22" fillId="0" borderId="1" xfId="0" applyFont="1" applyBorder="1"/>
    <xf numFmtId="0" fontId="22" fillId="0" borderId="1" xfId="0" applyFont="1" applyBorder="1" applyAlignment="1">
      <alignment horizontal="left"/>
    </xf>
    <xf numFmtId="0" fontId="16" fillId="0" borderId="1" xfId="0" applyFont="1" applyBorder="1" applyAlignment="1">
      <alignment horizontal="left"/>
    </xf>
    <xf numFmtId="0" fontId="22" fillId="0" borderId="1" xfId="0" applyFont="1" applyBorder="1" applyAlignment="1">
      <alignment horizontal="justify"/>
    </xf>
    <xf numFmtId="0" fontId="15" fillId="0" borderId="1" xfId="0" applyFont="1" applyBorder="1" applyAlignment="1">
      <alignment horizontal="justify"/>
    </xf>
    <xf numFmtId="0" fontId="16" fillId="0" borderId="0" xfId="0" applyFont="1"/>
    <xf numFmtId="0" fontId="18" fillId="0" borderId="0" xfId="0" applyFont="1" applyBorder="1" applyAlignment="1">
      <alignment horizontal="center"/>
    </xf>
    <xf numFmtId="0" fontId="25" fillId="0" borderId="0" xfId="0" applyFont="1" applyBorder="1"/>
    <xf numFmtId="0" fontId="18" fillId="0" borderId="0" xfId="0" applyFont="1" applyBorder="1" applyAlignment="1">
      <alignment horizontal="center" wrapText="1"/>
    </xf>
    <xf numFmtId="0" fontId="18" fillId="0" borderId="0" xfId="0" applyFont="1" applyBorder="1" applyAlignment="1">
      <alignment wrapText="1"/>
    </xf>
    <xf numFmtId="0" fontId="25" fillId="0" borderId="1" xfId="0" applyFont="1" applyBorder="1"/>
    <xf numFmtId="0" fontId="5" fillId="0" borderId="1" xfId="0" applyFont="1" applyBorder="1" applyAlignment="1">
      <alignment horizontal="left"/>
    </xf>
    <xf numFmtId="0" fontId="25" fillId="0" borderId="1" xfId="0" applyFont="1" applyBorder="1" applyAlignment="1">
      <alignment horizontal="justify"/>
    </xf>
    <xf numFmtId="0" fontId="18" fillId="0" borderId="1" xfId="0" applyFont="1" applyBorder="1" applyAlignment="1">
      <alignment horizontal="justify"/>
    </xf>
    <xf numFmtId="0" fontId="18" fillId="0" borderId="0" xfId="0" applyFont="1" applyBorder="1" applyAlignment="1"/>
    <xf numFmtId="0" fontId="29" fillId="0" borderId="1" xfId="0" applyFont="1" applyBorder="1" applyAlignment="1">
      <alignment horizontal="justify"/>
    </xf>
    <xf numFmtId="0" fontId="5" fillId="0" borderId="1" xfId="0" applyFont="1" applyBorder="1" applyAlignment="1">
      <alignment horizontal="justify"/>
    </xf>
    <xf numFmtId="0" fontId="25" fillId="0" borderId="1" xfId="0" applyFont="1" applyFill="1" applyBorder="1"/>
    <xf numFmtId="0" fontId="5" fillId="0" borderId="1" xfId="0" applyFont="1" applyBorder="1"/>
    <xf numFmtId="0" fontId="18" fillId="0" borderId="0" xfId="0" applyFont="1"/>
    <xf numFmtId="0" fontId="18" fillId="0" borderId="0" xfId="0" applyFont="1" applyAlignment="1">
      <alignment horizontal="center"/>
    </xf>
    <xf numFmtId="0" fontId="3" fillId="0" borderId="0" xfId="0" applyFont="1"/>
    <xf numFmtId="0" fontId="15" fillId="0" borderId="0" xfId="0" applyFont="1" applyBorder="1" applyAlignment="1">
      <alignment wrapText="1"/>
    </xf>
    <xf numFmtId="0" fontId="18" fillId="0" borderId="0" xfId="0" applyFont="1" applyBorder="1" applyAlignment="1">
      <alignment wrapText="1"/>
    </xf>
  </cellXfs>
  <cellStyles count="3">
    <cellStyle name="Followed Hyperlink" xfId="2" builtinId="9" hidden="1"/>
    <cellStyle name="Hyperlink" xfId="1" builtinId="8" hidden="1"/>
    <cellStyle name="Normal" xfId="0" builtinId="0"/>
  </cellStyles>
  <dxfs count="0"/>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5" Type="http://schemas.openxmlformats.org/officeDocument/2006/relationships/calcChain" Target="calcChain.xml"/><Relationship Id="rId31" Type="http://schemas.openxmlformats.org/officeDocument/2006/relationships/worksheet" Target="worksheets/sheet31.xml"/><Relationship Id="rId34" Type="http://schemas.openxmlformats.org/officeDocument/2006/relationships/sharedStrings" Target="sharedStrings.xml"/><Relationship Id="rId7" Type="http://schemas.openxmlformats.org/officeDocument/2006/relationships/worksheet" Target="worksheets/sheet7.xml"/><Relationship Id="rId1" Type="http://schemas.openxmlformats.org/officeDocument/2006/relationships/worksheet" Target="worksheets/sheet1.xml"/><Relationship Id="rId24" Type="http://schemas.openxmlformats.org/officeDocument/2006/relationships/worksheet" Target="worksheets/sheet24.xml"/><Relationship Id="rId25" Type="http://schemas.openxmlformats.org/officeDocument/2006/relationships/worksheet" Target="worksheets/sheet25.xml"/><Relationship Id="rId8" Type="http://schemas.openxmlformats.org/officeDocument/2006/relationships/worksheet" Target="worksheets/sheet8.xml"/><Relationship Id="rId13" Type="http://schemas.openxmlformats.org/officeDocument/2006/relationships/worksheet" Target="worksheets/sheet13.xml"/><Relationship Id="rId10" Type="http://schemas.openxmlformats.org/officeDocument/2006/relationships/worksheet" Target="worksheets/sheet10.xml"/><Relationship Id="rId32"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9" Type="http://schemas.openxmlformats.org/officeDocument/2006/relationships/worksheet" Target="worksheets/sheet9.xml"/><Relationship Id="rId18" Type="http://schemas.openxmlformats.org/officeDocument/2006/relationships/worksheet" Target="worksheets/sheet18.xml"/><Relationship Id="rId3" Type="http://schemas.openxmlformats.org/officeDocument/2006/relationships/worksheet" Target="worksheets/sheet3.xml"/><Relationship Id="rId27" Type="http://schemas.openxmlformats.org/officeDocument/2006/relationships/worksheet" Target="worksheets/sheet27.xml"/><Relationship Id="rId14" Type="http://schemas.openxmlformats.org/officeDocument/2006/relationships/worksheet" Target="worksheets/sheet14.xml"/><Relationship Id="rId23" Type="http://schemas.openxmlformats.org/officeDocument/2006/relationships/worksheet" Target="worksheets/sheet23.xml"/><Relationship Id="rId4" Type="http://schemas.openxmlformats.org/officeDocument/2006/relationships/worksheet" Target="worksheets/sheet4.xml"/><Relationship Id="rId28" Type="http://schemas.openxmlformats.org/officeDocument/2006/relationships/worksheet" Target="worksheets/sheet28.xml"/><Relationship Id="rId26" Type="http://schemas.openxmlformats.org/officeDocument/2006/relationships/worksheet" Target="worksheets/sheet26.xml"/><Relationship Id="rId30" Type="http://schemas.openxmlformats.org/officeDocument/2006/relationships/worksheet" Target="worksheets/sheet30.xml"/><Relationship Id="rId11" Type="http://schemas.openxmlformats.org/officeDocument/2006/relationships/worksheet" Target="worksheets/sheet11.xml"/><Relationship Id="rId29" Type="http://schemas.openxmlformats.org/officeDocument/2006/relationships/worksheet" Target="worksheets/sheet29.xml"/><Relationship Id="rId6" Type="http://schemas.openxmlformats.org/officeDocument/2006/relationships/worksheet" Target="worksheets/sheet6.xml"/><Relationship Id="rId16" Type="http://schemas.openxmlformats.org/officeDocument/2006/relationships/worksheet" Target="worksheets/sheet16.xml"/><Relationship Id="rId3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19" Type="http://schemas.openxmlformats.org/officeDocument/2006/relationships/worksheet" Target="worksheets/sheet19.xml"/><Relationship Id="rId20" Type="http://schemas.openxmlformats.org/officeDocument/2006/relationships/worksheet" Target="worksheets/sheet20.xml"/><Relationship Id="rId22" Type="http://schemas.openxmlformats.org/officeDocument/2006/relationships/worksheet" Target="worksheets/sheet22.xml"/><Relationship Id="rId21" Type="http://schemas.openxmlformats.org/officeDocument/2006/relationships/worksheet" Target="worksheets/sheet2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J12"/>
  <sheetViews>
    <sheetView workbookViewId="0">
      <selection activeCell="C12" sqref="A1:C12"/>
    </sheetView>
  </sheetViews>
  <sheetFormatPr baseColWidth="10" defaultColWidth="8.83203125" defaultRowHeight="14"/>
  <cols>
    <col min="8" max="8" width="25" customWidth="1"/>
    <col min="9" max="9" width="34.33203125" customWidth="1"/>
    <col min="10" max="10" width="13.5" customWidth="1"/>
  </cols>
  <sheetData>
    <row r="1" spans="1:10" ht="15">
      <c r="A1" t="s">
        <v>68</v>
      </c>
      <c r="F1" s="9" t="s">
        <v>80</v>
      </c>
      <c r="G1" s="9" t="s">
        <v>81</v>
      </c>
      <c r="H1" s="9" t="s">
        <v>82</v>
      </c>
      <c r="I1" s="9" t="s">
        <v>83</v>
      </c>
      <c r="J1" s="9" t="s">
        <v>84</v>
      </c>
    </row>
    <row r="2" spans="1:10">
      <c r="B2" t="s">
        <v>60</v>
      </c>
      <c r="C2">
        <v>35</v>
      </c>
      <c r="F2" t="s">
        <v>94</v>
      </c>
      <c r="G2" t="s">
        <v>12</v>
      </c>
      <c r="H2" s="1" t="s">
        <v>104</v>
      </c>
      <c r="I2" s="1" t="s">
        <v>17</v>
      </c>
      <c r="J2" s="1" t="s">
        <v>19</v>
      </c>
    </row>
    <row r="3" spans="1:10">
      <c r="A3" t="s">
        <v>51</v>
      </c>
      <c r="B3">
        <v>5</v>
      </c>
      <c r="C3">
        <f>B3*C2</f>
        <v>175</v>
      </c>
      <c r="H3" t="s">
        <v>13</v>
      </c>
      <c r="I3" t="s">
        <v>18</v>
      </c>
      <c r="J3" t="s">
        <v>20</v>
      </c>
    </row>
    <row r="4" spans="1:10">
      <c r="A4" t="s">
        <v>52</v>
      </c>
      <c r="B4">
        <v>2</v>
      </c>
      <c r="C4">
        <f>B4*C2</f>
        <v>70</v>
      </c>
      <c r="H4" t="s">
        <v>14</v>
      </c>
    </row>
    <row r="5" spans="1:10">
      <c r="A5" t="s">
        <v>53</v>
      </c>
      <c r="B5">
        <v>0.5</v>
      </c>
      <c r="C5">
        <f>B5*C2</f>
        <v>17.5</v>
      </c>
      <c r="H5" t="s">
        <v>15</v>
      </c>
    </row>
    <row r="6" spans="1:10">
      <c r="A6" t="s">
        <v>54</v>
      </c>
      <c r="B6">
        <v>2</v>
      </c>
      <c r="C6">
        <f>B6*C2</f>
        <v>70</v>
      </c>
      <c r="H6" t="s">
        <v>16</v>
      </c>
    </row>
    <row r="7" spans="1:10">
      <c r="A7" t="s">
        <v>55</v>
      </c>
      <c r="B7">
        <v>2</v>
      </c>
      <c r="C7">
        <f>B7*C2</f>
        <v>70</v>
      </c>
      <c r="H7" t="s">
        <v>107</v>
      </c>
    </row>
    <row r="8" spans="1:10">
      <c r="A8" t="s">
        <v>56</v>
      </c>
      <c r="B8">
        <v>2</v>
      </c>
      <c r="C8">
        <f>B8*C2</f>
        <v>70</v>
      </c>
    </row>
    <row r="9" spans="1:10">
      <c r="A9" t="s">
        <v>57</v>
      </c>
      <c r="B9">
        <v>0.5</v>
      </c>
      <c r="C9">
        <f>B9*C2</f>
        <v>17.5</v>
      </c>
    </row>
    <row r="10" spans="1:10">
      <c r="A10" t="s">
        <v>58</v>
      </c>
      <c r="B10">
        <v>9</v>
      </c>
      <c r="C10">
        <f>B10*C2</f>
        <v>315</v>
      </c>
    </row>
    <row r="11" spans="1:10">
      <c r="A11" t="s">
        <v>59</v>
      </c>
      <c r="B11">
        <v>2</v>
      </c>
      <c r="C11">
        <f>B11*C2</f>
        <v>70</v>
      </c>
    </row>
    <row r="12" spans="1:10">
      <c r="A12" t="s">
        <v>61</v>
      </c>
      <c r="B12">
        <f>SUM(B3:B11)</f>
        <v>25</v>
      </c>
      <c r="C12">
        <f>SUM(C3:C11)</f>
        <v>875</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J11"/>
  <sheetViews>
    <sheetView topLeftCell="J1" workbookViewId="0">
      <selection sqref="A1:C11"/>
    </sheetView>
  </sheetViews>
  <sheetFormatPr baseColWidth="10" defaultColWidth="8.83203125" defaultRowHeight="14"/>
  <cols>
    <col min="8" max="8" width="25" customWidth="1"/>
    <col min="9" max="9" width="34.33203125" customWidth="1"/>
    <col min="10" max="10" width="13.5" customWidth="1"/>
  </cols>
  <sheetData>
    <row r="1" spans="1:10" ht="15">
      <c r="A1" t="s">
        <v>68</v>
      </c>
      <c r="F1" s="9" t="s">
        <v>80</v>
      </c>
      <c r="G1" s="9" t="s">
        <v>81</v>
      </c>
      <c r="H1" s="9" t="s">
        <v>82</v>
      </c>
      <c r="I1" s="9" t="s">
        <v>83</v>
      </c>
      <c r="J1" s="9" t="s">
        <v>84</v>
      </c>
    </row>
    <row r="2" spans="1:10">
      <c r="B2" t="s">
        <v>60</v>
      </c>
      <c r="C2">
        <v>35</v>
      </c>
      <c r="F2" t="s">
        <v>94</v>
      </c>
      <c r="G2" t="s">
        <v>9</v>
      </c>
      <c r="H2" s="1" t="s">
        <v>104</v>
      </c>
      <c r="I2" s="1"/>
      <c r="J2" s="1"/>
    </row>
    <row r="3" spans="1:10">
      <c r="A3" t="s">
        <v>51</v>
      </c>
      <c r="B3">
        <v>5</v>
      </c>
      <c r="C3">
        <f>B3*C2</f>
        <v>175</v>
      </c>
      <c r="H3" t="s">
        <v>13</v>
      </c>
    </row>
    <row r="4" spans="1:10">
      <c r="A4" t="s">
        <v>52</v>
      </c>
      <c r="B4">
        <v>2</v>
      </c>
      <c r="C4">
        <f>B4*C2</f>
        <v>70</v>
      </c>
      <c r="H4" t="s">
        <v>10</v>
      </c>
    </row>
    <row r="5" spans="1:10">
      <c r="A5" t="s">
        <v>53</v>
      </c>
      <c r="B5">
        <v>0.5</v>
      </c>
      <c r="C5">
        <f>B5*C2</f>
        <v>17.5</v>
      </c>
      <c r="H5" t="s">
        <v>15</v>
      </c>
    </row>
    <row r="6" spans="1:10">
      <c r="A6" t="s">
        <v>55</v>
      </c>
      <c r="B6">
        <v>0.5</v>
      </c>
      <c r="C6">
        <f>B6*C2</f>
        <v>17.5</v>
      </c>
      <c r="H6" t="s">
        <v>16</v>
      </c>
    </row>
    <row r="7" spans="1:10">
      <c r="A7" t="s">
        <v>56</v>
      </c>
      <c r="B7">
        <v>0.5</v>
      </c>
      <c r="C7">
        <f>B7*C2</f>
        <v>17.5</v>
      </c>
      <c r="H7" t="s">
        <v>107</v>
      </c>
    </row>
    <row r="8" spans="1:10">
      <c r="A8" t="s">
        <v>57</v>
      </c>
      <c r="B8">
        <v>0.2</v>
      </c>
      <c r="C8">
        <f>B8*C2</f>
        <v>7</v>
      </c>
    </row>
    <row r="9" spans="1:10">
      <c r="A9" t="s">
        <v>58</v>
      </c>
      <c r="B9">
        <v>15.3</v>
      </c>
      <c r="C9">
        <f>B9*C2</f>
        <v>535.5</v>
      </c>
    </row>
    <row r="10" spans="1:10">
      <c r="A10" t="s">
        <v>59</v>
      </c>
      <c r="B10">
        <v>1</v>
      </c>
      <c r="C10">
        <f>B10*C2</f>
        <v>35</v>
      </c>
    </row>
    <row r="11" spans="1:10">
      <c r="A11" t="s">
        <v>61</v>
      </c>
      <c r="B11">
        <f>SUM(B3:B10)</f>
        <v>25</v>
      </c>
      <c r="C11">
        <f>SUM(C3:C10)</f>
        <v>875</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12"/>
  <sheetViews>
    <sheetView view="pageLayout" topLeftCell="C1" workbookViewId="0">
      <selection activeCell="D28" sqref="D28"/>
    </sheetView>
  </sheetViews>
  <sheetFormatPr baseColWidth="10" defaultRowHeight="14"/>
  <sheetData>
    <row r="1" spans="1:3">
      <c r="A1" t="s">
        <v>68</v>
      </c>
    </row>
    <row r="2" spans="1:3">
      <c r="B2" t="s">
        <v>60</v>
      </c>
      <c r="C2">
        <v>35</v>
      </c>
    </row>
    <row r="3" spans="1:3">
      <c r="A3" t="s">
        <v>51</v>
      </c>
      <c r="B3">
        <v>5</v>
      </c>
      <c r="C3">
        <f>B3*C2</f>
        <v>175</v>
      </c>
    </row>
    <row r="4" spans="1:3">
      <c r="A4" t="s">
        <v>52</v>
      </c>
      <c r="B4">
        <v>2</v>
      </c>
      <c r="C4">
        <f>B4*C2</f>
        <v>70</v>
      </c>
    </row>
    <row r="5" spans="1:3">
      <c r="A5" t="s">
        <v>53</v>
      </c>
      <c r="B5">
        <v>0.5</v>
      </c>
      <c r="C5">
        <f>B5*C2</f>
        <v>17.5</v>
      </c>
    </row>
    <row r="6" spans="1:3">
      <c r="A6" t="s">
        <v>54</v>
      </c>
      <c r="B6">
        <v>2</v>
      </c>
      <c r="C6">
        <f>B6*C2</f>
        <v>70</v>
      </c>
    </row>
    <row r="7" spans="1:3">
      <c r="A7" t="s">
        <v>55</v>
      </c>
      <c r="B7">
        <v>1</v>
      </c>
      <c r="C7">
        <f>B7*C2</f>
        <v>35</v>
      </c>
    </row>
    <row r="8" spans="1:3">
      <c r="A8" t="s">
        <v>56</v>
      </c>
      <c r="B8">
        <v>1</v>
      </c>
      <c r="C8">
        <f>B8*C2</f>
        <v>35</v>
      </c>
    </row>
    <row r="9" spans="1:3">
      <c r="A9" t="s">
        <v>57</v>
      </c>
      <c r="B9">
        <v>0.5</v>
      </c>
      <c r="C9">
        <f>B9*C2</f>
        <v>17.5</v>
      </c>
    </row>
    <row r="10" spans="1:3">
      <c r="A10" t="s">
        <v>58</v>
      </c>
      <c r="B10">
        <v>11</v>
      </c>
      <c r="C10">
        <f>B10*C2</f>
        <v>385</v>
      </c>
    </row>
    <row r="11" spans="1:3">
      <c r="A11" t="s">
        <v>59</v>
      </c>
      <c r="B11">
        <v>2</v>
      </c>
      <c r="C11">
        <f>B11*C2</f>
        <v>70</v>
      </c>
    </row>
    <row r="12" spans="1:3">
      <c r="A12" t="s">
        <v>61</v>
      </c>
      <c r="B12">
        <f>SUM(B3:B11)</f>
        <v>25</v>
      </c>
      <c r="C12">
        <f>SUM(C3:C11)</f>
        <v>875</v>
      </c>
    </row>
  </sheetData>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7"/>
  <sheetViews>
    <sheetView workbookViewId="0">
      <selection sqref="A1:C11"/>
    </sheetView>
  </sheetViews>
  <sheetFormatPr baseColWidth="10" defaultColWidth="8.83203125" defaultRowHeight="14"/>
  <cols>
    <col min="3" max="3" width="8.83203125" customWidth="1"/>
    <col min="7" max="7" width="13.1640625" customWidth="1"/>
    <col min="8" max="8" width="25.33203125" customWidth="1"/>
    <col min="9" max="9" width="30.33203125" customWidth="1"/>
    <col min="10" max="10" width="40.33203125" customWidth="1"/>
  </cols>
  <sheetData>
    <row r="1" spans="1:11">
      <c r="A1" t="s">
        <v>79</v>
      </c>
      <c r="G1" s="4" t="s">
        <v>80</v>
      </c>
      <c r="H1" s="4" t="s">
        <v>81</v>
      </c>
      <c r="I1" s="4" t="s">
        <v>82</v>
      </c>
      <c r="J1" s="4" t="s">
        <v>83</v>
      </c>
      <c r="K1" s="4" t="s">
        <v>84</v>
      </c>
    </row>
    <row r="2" spans="1:11">
      <c r="B2" t="s">
        <v>60</v>
      </c>
      <c r="C2">
        <v>15</v>
      </c>
      <c r="G2" s="65" t="s">
        <v>94</v>
      </c>
      <c r="H2" s="65" t="s">
        <v>85</v>
      </c>
      <c r="I2" s="3" t="s">
        <v>86</v>
      </c>
      <c r="J2" s="3" t="s">
        <v>92</v>
      </c>
      <c r="K2" s="11" t="s">
        <v>132</v>
      </c>
    </row>
    <row r="3" spans="1:11">
      <c r="A3" t="s">
        <v>51</v>
      </c>
      <c r="B3">
        <v>5</v>
      </c>
      <c r="C3">
        <f>B3*C2</f>
        <v>75</v>
      </c>
      <c r="G3" s="65"/>
      <c r="H3" s="65"/>
      <c r="I3" s="3" t="s">
        <v>87</v>
      </c>
      <c r="J3" s="3" t="s">
        <v>93</v>
      </c>
      <c r="K3" s="11" t="s">
        <v>133</v>
      </c>
    </row>
    <row r="4" spans="1:11">
      <c r="A4" t="s">
        <v>52</v>
      </c>
      <c r="B4">
        <v>2.5</v>
      </c>
      <c r="C4">
        <f>B4*C2</f>
        <v>37.5</v>
      </c>
      <c r="G4" s="65"/>
      <c r="H4" s="65"/>
      <c r="I4" s="3" t="s">
        <v>88</v>
      </c>
      <c r="J4" s="3"/>
      <c r="K4" s="11"/>
    </row>
    <row r="5" spans="1:11">
      <c r="A5" t="s">
        <v>53</v>
      </c>
      <c r="B5">
        <v>0.5</v>
      </c>
      <c r="C5">
        <f>B5*C2</f>
        <v>7.5</v>
      </c>
      <c r="G5" s="65"/>
      <c r="H5" s="65"/>
      <c r="I5" s="3" t="s">
        <v>89</v>
      </c>
      <c r="J5" s="3"/>
      <c r="K5" s="11"/>
    </row>
    <row r="6" spans="1:11">
      <c r="A6" t="s">
        <v>55</v>
      </c>
      <c r="B6">
        <v>1.25</v>
      </c>
      <c r="C6">
        <f>B6*C2</f>
        <v>18.75</v>
      </c>
      <c r="G6" s="65"/>
      <c r="H6" s="65"/>
      <c r="I6" s="3" t="s">
        <v>90</v>
      </c>
      <c r="J6" s="3"/>
      <c r="K6" s="11"/>
    </row>
    <row r="7" spans="1:11">
      <c r="A7" t="s">
        <v>56</v>
      </c>
      <c r="B7">
        <v>1.25</v>
      </c>
      <c r="C7">
        <f>B7*C2</f>
        <v>18.75</v>
      </c>
      <c r="G7" s="65"/>
      <c r="H7" s="65"/>
      <c r="I7" s="3" t="s">
        <v>91</v>
      </c>
      <c r="J7" s="3"/>
      <c r="K7" s="11"/>
    </row>
    <row r="8" spans="1:11">
      <c r="A8" t="s">
        <v>57</v>
      </c>
      <c r="B8">
        <v>0.2</v>
      </c>
      <c r="C8">
        <f>B8*C2</f>
        <v>3</v>
      </c>
    </row>
    <row r="9" spans="1:11">
      <c r="A9" t="s">
        <v>58</v>
      </c>
      <c r="B9">
        <v>13.3</v>
      </c>
      <c r="C9">
        <f>B9*C2</f>
        <v>199.5</v>
      </c>
    </row>
    <row r="10" spans="1:11">
      <c r="A10" t="s">
        <v>59</v>
      </c>
      <c r="B10">
        <v>1</v>
      </c>
      <c r="C10">
        <f>B10*C2</f>
        <v>15</v>
      </c>
    </row>
    <row r="11" spans="1:11">
      <c r="A11" t="s">
        <v>61</v>
      </c>
      <c r="B11">
        <f>SUM(B3:B10)</f>
        <v>25</v>
      </c>
      <c r="C11">
        <f>SUM(C3:C10)</f>
        <v>375</v>
      </c>
    </row>
    <row r="17" spans="4:4">
      <c r="D17" s="1"/>
    </row>
  </sheetData>
  <mergeCells count="2">
    <mergeCell ref="G2:G7"/>
    <mergeCell ref="H2:H7"/>
  </mergeCells>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7"/>
  <sheetViews>
    <sheetView workbookViewId="0">
      <selection activeCell="K11" sqref="K11"/>
    </sheetView>
  </sheetViews>
  <sheetFormatPr baseColWidth="10" defaultColWidth="8.83203125" defaultRowHeight="14"/>
  <cols>
    <col min="3" max="3" width="8.83203125" customWidth="1"/>
    <col min="7" max="7" width="13.1640625" customWidth="1"/>
    <col min="8" max="8" width="25.33203125" customWidth="1"/>
    <col min="9" max="9" width="30.33203125" customWidth="1"/>
    <col min="10" max="10" width="40.33203125" customWidth="1"/>
  </cols>
  <sheetData>
    <row r="1" spans="1:11">
      <c r="A1" t="s">
        <v>79</v>
      </c>
      <c r="G1" s="2" t="s">
        <v>80</v>
      </c>
      <c r="H1" s="2" t="s">
        <v>81</v>
      </c>
      <c r="I1" s="2" t="s">
        <v>82</v>
      </c>
      <c r="J1" s="2" t="s">
        <v>83</v>
      </c>
      <c r="K1" s="2" t="s">
        <v>84</v>
      </c>
    </row>
    <row r="2" spans="1:11">
      <c r="B2" t="s">
        <v>60</v>
      </c>
      <c r="C2">
        <v>10</v>
      </c>
      <c r="G2" s="65" t="s">
        <v>94</v>
      </c>
      <c r="H2" s="65" t="s">
        <v>85</v>
      </c>
      <c r="I2" s="3" t="s">
        <v>86</v>
      </c>
      <c r="J2" s="3" t="s">
        <v>92</v>
      </c>
      <c r="K2" s="11" t="s">
        <v>132</v>
      </c>
    </row>
    <row r="3" spans="1:11">
      <c r="A3" t="s">
        <v>51</v>
      </c>
      <c r="B3">
        <v>5</v>
      </c>
      <c r="C3">
        <f>B3*C2</f>
        <v>50</v>
      </c>
      <c r="G3" s="65"/>
      <c r="H3" s="65"/>
      <c r="I3" s="3" t="s">
        <v>87</v>
      </c>
      <c r="J3" s="3" t="s">
        <v>93</v>
      </c>
      <c r="K3" s="11" t="s">
        <v>133</v>
      </c>
    </row>
    <row r="4" spans="1:11">
      <c r="A4" t="s">
        <v>52</v>
      </c>
      <c r="B4">
        <v>2.5</v>
      </c>
      <c r="C4">
        <f>B4*C2</f>
        <v>25</v>
      </c>
      <c r="G4" s="65"/>
      <c r="H4" s="65"/>
      <c r="I4" s="3" t="s">
        <v>88</v>
      </c>
      <c r="J4" s="3"/>
      <c r="K4" s="11"/>
    </row>
    <row r="5" spans="1:11">
      <c r="A5" t="s">
        <v>53</v>
      </c>
      <c r="B5">
        <v>0.5</v>
      </c>
      <c r="C5">
        <f>B5*C2</f>
        <v>5</v>
      </c>
      <c r="G5" s="65"/>
      <c r="H5" s="65"/>
      <c r="I5" s="3" t="s">
        <v>89</v>
      </c>
      <c r="J5" s="3"/>
      <c r="K5" s="11"/>
    </row>
    <row r="6" spans="1:11">
      <c r="A6" t="s">
        <v>54</v>
      </c>
      <c r="B6">
        <v>2.5</v>
      </c>
      <c r="C6">
        <f>B6*C2</f>
        <v>25</v>
      </c>
      <c r="G6" s="65"/>
      <c r="H6" s="65"/>
      <c r="I6" s="3" t="s">
        <v>90</v>
      </c>
      <c r="J6" s="3"/>
      <c r="K6" s="11"/>
    </row>
    <row r="7" spans="1:11">
      <c r="A7" t="s">
        <v>55</v>
      </c>
      <c r="B7">
        <v>1.7</v>
      </c>
      <c r="C7">
        <f>B7*C2</f>
        <v>17</v>
      </c>
      <c r="G7" s="65"/>
      <c r="H7" s="65"/>
      <c r="I7" s="3" t="s">
        <v>91</v>
      </c>
      <c r="J7" s="3"/>
      <c r="K7" s="11"/>
    </row>
    <row r="8" spans="1:11">
      <c r="A8" t="s">
        <v>56</v>
      </c>
      <c r="B8">
        <v>1.7</v>
      </c>
      <c r="C8">
        <f>B8*C2</f>
        <v>17</v>
      </c>
    </row>
    <row r="9" spans="1:11">
      <c r="A9" t="s">
        <v>57</v>
      </c>
      <c r="B9">
        <v>0.2</v>
      </c>
      <c r="C9">
        <f>B9*C2</f>
        <v>2</v>
      </c>
    </row>
    <row r="10" spans="1:11">
      <c r="A10" t="s">
        <v>58</v>
      </c>
      <c r="B10">
        <v>8.9</v>
      </c>
      <c r="C10">
        <f>B10*C2</f>
        <v>89</v>
      </c>
    </row>
    <row r="11" spans="1:11">
      <c r="A11" t="s">
        <v>59</v>
      </c>
      <c r="B11">
        <v>2</v>
      </c>
      <c r="C11">
        <f>B11*C2</f>
        <v>20</v>
      </c>
    </row>
    <row r="12" spans="1:11">
      <c r="A12" t="s">
        <v>61</v>
      </c>
      <c r="B12">
        <f>SUM(B3:B11)</f>
        <v>25</v>
      </c>
      <c r="C12">
        <f>SUM(C3:C11)</f>
        <v>250</v>
      </c>
    </row>
    <row r="17" spans="3:4">
      <c r="C17" s="1"/>
      <c r="D17" s="1"/>
    </row>
  </sheetData>
  <mergeCells count="2">
    <mergeCell ref="G2:G7"/>
    <mergeCell ref="H2:H7"/>
  </mergeCells>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1"/>
  <sheetViews>
    <sheetView workbookViewId="0">
      <selection activeCell="K10" sqref="K10"/>
    </sheetView>
  </sheetViews>
  <sheetFormatPr baseColWidth="10" defaultColWidth="8.83203125" defaultRowHeight="14"/>
  <cols>
    <col min="1" max="1" width="13.5" customWidth="1"/>
    <col min="10" max="10" width="31.83203125" customWidth="1"/>
    <col min="11" max="11" width="20.6640625" customWidth="1"/>
    <col min="12" max="12" width="12.6640625" customWidth="1"/>
  </cols>
  <sheetData>
    <row r="1" spans="1:12">
      <c r="A1" t="s">
        <v>102</v>
      </c>
      <c r="H1" t="s">
        <v>80</v>
      </c>
      <c r="I1" t="s">
        <v>81</v>
      </c>
      <c r="J1" t="s">
        <v>82</v>
      </c>
      <c r="K1" t="s">
        <v>83</v>
      </c>
      <c r="L1" t="s">
        <v>84</v>
      </c>
    </row>
    <row r="2" spans="1:12" ht="17" customHeight="1">
      <c r="B2" s="8" t="s">
        <v>60</v>
      </c>
      <c r="C2">
        <v>20</v>
      </c>
      <c r="E2" s="7"/>
      <c r="H2" s="5" t="s">
        <v>94</v>
      </c>
      <c r="I2" s="5" t="s">
        <v>95</v>
      </c>
      <c r="J2" s="6" t="s">
        <v>97</v>
      </c>
      <c r="K2" s="1" t="s">
        <v>3</v>
      </c>
    </row>
    <row r="3" spans="1:12">
      <c r="A3" t="s">
        <v>51</v>
      </c>
      <c r="B3">
        <v>5</v>
      </c>
      <c r="C3">
        <f>B3*C2</f>
        <v>100</v>
      </c>
      <c r="J3" t="s">
        <v>98</v>
      </c>
      <c r="K3" t="s">
        <v>4</v>
      </c>
    </row>
    <row r="4" spans="1:12">
      <c r="A4" t="s">
        <v>52</v>
      </c>
      <c r="B4">
        <v>2.5</v>
      </c>
      <c r="C4">
        <f>B4*C2</f>
        <v>50</v>
      </c>
      <c r="J4" t="s">
        <v>99</v>
      </c>
    </row>
    <row r="5" spans="1:12">
      <c r="A5" t="s">
        <v>53</v>
      </c>
      <c r="B5">
        <v>0.5</v>
      </c>
      <c r="C5">
        <f>B5*C2</f>
        <v>10</v>
      </c>
      <c r="J5" t="s">
        <v>100</v>
      </c>
    </row>
    <row r="6" spans="1:12">
      <c r="A6" t="s">
        <v>55</v>
      </c>
      <c r="B6">
        <v>1.25</v>
      </c>
      <c r="C6">
        <f>B6*C2</f>
        <v>25</v>
      </c>
      <c r="J6" t="s">
        <v>101</v>
      </c>
    </row>
    <row r="7" spans="1:12">
      <c r="A7" t="s">
        <v>56</v>
      </c>
      <c r="B7">
        <v>1.25</v>
      </c>
      <c r="C7">
        <f>B7*C2</f>
        <v>25</v>
      </c>
      <c r="J7" t="s">
        <v>91</v>
      </c>
    </row>
    <row r="8" spans="1:12">
      <c r="A8" t="s">
        <v>57</v>
      </c>
      <c r="B8">
        <v>0.2</v>
      </c>
      <c r="C8">
        <f>B8*C2</f>
        <v>4</v>
      </c>
    </row>
    <row r="9" spans="1:12">
      <c r="A9" t="s">
        <v>58</v>
      </c>
      <c r="B9">
        <v>13.25</v>
      </c>
      <c r="C9">
        <f>B9*C2</f>
        <v>265</v>
      </c>
    </row>
    <row r="10" spans="1:12">
      <c r="A10" t="s">
        <v>59</v>
      </c>
      <c r="B10">
        <v>1</v>
      </c>
      <c r="C10">
        <f>B10*C2</f>
        <v>20</v>
      </c>
    </row>
    <row r="11" spans="1:12">
      <c r="A11" t="s">
        <v>61</v>
      </c>
      <c r="B11">
        <v>25</v>
      </c>
      <c r="C11">
        <f>B11*C2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1"/>
  <sheetViews>
    <sheetView workbookViewId="0">
      <selection activeCell="K4" sqref="K4"/>
    </sheetView>
  </sheetViews>
  <sheetFormatPr baseColWidth="10" defaultColWidth="8.83203125" defaultRowHeight="14"/>
  <cols>
    <col min="1" max="1" width="13.5" customWidth="1"/>
    <col min="10" max="10" width="29.33203125" customWidth="1"/>
    <col min="11" max="11" width="29.5" customWidth="1"/>
    <col min="12" max="12" width="12.6640625" customWidth="1"/>
  </cols>
  <sheetData>
    <row r="1" spans="1:12">
      <c r="A1" t="s">
        <v>103</v>
      </c>
      <c r="H1" t="s">
        <v>80</v>
      </c>
      <c r="I1" t="s">
        <v>81</v>
      </c>
      <c r="J1" t="s">
        <v>82</v>
      </c>
      <c r="K1" t="s">
        <v>83</v>
      </c>
      <c r="L1" t="s">
        <v>84</v>
      </c>
    </row>
    <row r="2" spans="1:12" ht="17" customHeight="1">
      <c r="B2" s="8" t="s">
        <v>60</v>
      </c>
      <c r="C2">
        <v>20</v>
      </c>
      <c r="E2" s="7"/>
      <c r="H2" s="5" t="s">
        <v>94</v>
      </c>
      <c r="I2" s="5" t="s">
        <v>103</v>
      </c>
      <c r="J2" s="1" t="s">
        <v>104</v>
      </c>
      <c r="K2" s="1" t="s">
        <v>2</v>
      </c>
    </row>
    <row r="3" spans="1:12">
      <c r="A3" t="s">
        <v>51</v>
      </c>
      <c r="B3">
        <v>5</v>
      </c>
      <c r="C3">
        <f>B3*C2</f>
        <v>100</v>
      </c>
      <c r="J3" t="s">
        <v>87</v>
      </c>
      <c r="K3" t="s">
        <v>1</v>
      </c>
    </row>
    <row r="4" spans="1:12">
      <c r="A4" t="s">
        <v>52</v>
      </c>
      <c r="B4">
        <v>2.5</v>
      </c>
      <c r="C4">
        <f>B4*C2</f>
        <v>50</v>
      </c>
      <c r="J4" t="s">
        <v>105</v>
      </c>
    </row>
    <row r="5" spans="1:12">
      <c r="A5" t="s">
        <v>53</v>
      </c>
      <c r="B5">
        <v>0.5</v>
      </c>
      <c r="C5">
        <f>B5*C2</f>
        <v>10</v>
      </c>
      <c r="J5" t="s">
        <v>106</v>
      </c>
    </row>
    <row r="6" spans="1:12">
      <c r="A6" t="s">
        <v>55</v>
      </c>
      <c r="B6">
        <v>1.25</v>
      </c>
      <c r="C6">
        <f>B6*C2</f>
        <v>25</v>
      </c>
      <c r="J6" t="s">
        <v>90</v>
      </c>
    </row>
    <row r="7" spans="1:12">
      <c r="A7" t="s">
        <v>56</v>
      </c>
      <c r="B7">
        <v>1.25</v>
      </c>
      <c r="C7">
        <f>B7*C2</f>
        <v>25</v>
      </c>
      <c r="J7" t="s">
        <v>107</v>
      </c>
    </row>
    <row r="8" spans="1:12">
      <c r="A8" t="s">
        <v>57</v>
      </c>
      <c r="B8">
        <v>0.2</v>
      </c>
      <c r="C8">
        <f>B8*C2</f>
        <v>4</v>
      </c>
    </row>
    <row r="9" spans="1:12">
      <c r="A9" t="s">
        <v>58</v>
      </c>
      <c r="B9">
        <v>13.25</v>
      </c>
      <c r="C9">
        <f>B9*C2</f>
        <v>265</v>
      </c>
    </row>
    <row r="10" spans="1:12">
      <c r="A10" t="s">
        <v>59</v>
      </c>
      <c r="B10">
        <v>1</v>
      </c>
      <c r="C10">
        <f>B10*C2</f>
        <v>20</v>
      </c>
    </row>
    <row r="11" spans="1:12">
      <c r="A11" t="s">
        <v>61</v>
      </c>
      <c r="B11">
        <v>25</v>
      </c>
      <c r="C11">
        <f>B11*C2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1"/>
  <sheetViews>
    <sheetView workbookViewId="0">
      <selection sqref="A1:C11"/>
    </sheetView>
  </sheetViews>
  <sheetFormatPr baseColWidth="10" defaultColWidth="8.83203125" defaultRowHeight="14"/>
  <cols>
    <col min="1" max="1" width="13.5" customWidth="1"/>
    <col min="10" max="10" width="29.33203125" customWidth="1"/>
    <col min="11" max="11" width="39.83203125" customWidth="1"/>
    <col min="12" max="12" width="12.6640625" customWidth="1"/>
  </cols>
  <sheetData>
    <row r="1" spans="1:12">
      <c r="A1" t="s">
        <v>11</v>
      </c>
      <c r="H1" t="s">
        <v>80</v>
      </c>
      <c r="I1" t="s">
        <v>81</v>
      </c>
      <c r="J1" t="s">
        <v>82</v>
      </c>
      <c r="K1" t="s">
        <v>83</v>
      </c>
      <c r="L1" t="s">
        <v>84</v>
      </c>
    </row>
    <row r="2" spans="1:12" ht="17" customHeight="1">
      <c r="B2" s="8" t="s">
        <v>60</v>
      </c>
      <c r="C2">
        <v>20</v>
      </c>
      <c r="E2" s="7"/>
      <c r="H2" s="5" t="s">
        <v>94</v>
      </c>
      <c r="I2" t="s">
        <v>44</v>
      </c>
      <c r="J2" s="1" t="s">
        <v>104</v>
      </c>
      <c r="K2" s="1" t="s">
        <v>31</v>
      </c>
      <c r="L2" t="s">
        <v>30</v>
      </c>
    </row>
    <row r="3" spans="1:12">
      <c r="A3" t="s">
        <v>51</v>
      </c>
      <c r="B3">
        <v>5</v>
      </c>
      <c r="C3">
        <f>B3*C2</f>
        <v>100</v>
      </c>
      <c r="J3" t="s">
        <v>87</v>
      </c>
      <c r="K3" t="s">
        <v>32</v>
      </c>
    </row>
    <row r="4" spans="1:12">
      <c r="A4" t="s">
        <v>52</v>
      </c>
      <c r="B4">
        <v>2.5</v>
      </c>
      <c r="C4">
        <f>B4*C2</f>
        <v>50</v>
      </c>
      <c r="J4" t="s">
        <v>105</v>
      </c>
    </row>
    <row r="5" spans="1:12">
      <c r="A5" t="s">
        <v>53</v>
      </c>
      <c r="B5">
        <v>0.5</v>
      </c>
      <c r="C5">
        <f>B5*C2</f>
        <v>10</v>
      </c>
      <c r="J5" t="s">
        <v>106</v>
      </c>
    </row>
    <row r="6" spans="1:12">
      <c r="A6" t="s">
        <v>55</v>
      </c>
      <c r="B6">
        <v>1.25</v>
      </c>
      <c r="C6">
        <f>B6*C2</f>
        <v>25</v>
      </c>
      <c r="J6" t="s">
        <v>90</v>
      </c>
    </row>
    <row r="7" spans="1:12">
      <c r="A7" t="s">
        <v>56</v>
      </c>
      <c r="B7">
        <v>1.25</v>
      </c>
      <c r="C7">
        <f>B7*C2</f>
        <v>25</v>
      </c>
      <c r="J7" t="s">
        <v>107</v>
      </c>
    </row>
    <row r="8" spans="1:12">
      <c r="A8" t="s">
        <v>57</v>
      </c>
      <c r="B8">
        <v>0.2</v>
      </c>
      <c r="C8">
        <f>B8*C2</f>
        <v>4</v>
      </c>
    </row>
    <row r="9" spans="1:12">
      <c r="A9" t="s">
        <v>58</v>
      </c>
      <c r="B9">
        <v>13.25</v>
      </c>
      <c r="C9">
        <f>B9*C2</f>
        <v>265</v>
      </c>
    </row>
    <row r="10" spans="1:12">
      <c r="A10" t="s">
        <v>59</v>
      </c>
      <c r="B10">
        <v>1</v>
      </c>
      <c r="C10">
        <f>B10*C2</f>
        <v>20</v>
      </c>
    </row>
    <row r="11" spans="1:12">
      <c r="A11" t="s">
        <v>61</v>
      </c>
      <c r="B11">
        <v>25</v>
      </c>
      <c r="C11">
        <f>B11*C2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M11"/>
  <sheetViews>
    <sheetView workbookViewId="0">
      <selection sqref="A1:C11"/>
    </sheetView>
  </sheetViews>
  <sheetFormatPr baseColWidth="10" defaultColWidth="8.83203125" defaultRowHeight="14"/>
  <cols>
    <col min="11" max="11" width="30.5" customWidth="1"/>
    <col min="12" max="12" width="36.1640625" customWidth="1"/>
  </cols>
  <sheetData>
    <row r="1" spans="1:13">
      <c r="A1" t="s">
        <v>62</v>
      </c>
      <c r="I1" t="s">
        <v>80</v>
      </c>
      <c r="J1" t="s">
        <v>81</v>
      </c>
      <c r="K1" t="s">
        <v>82</v>
      </c>
      <c r="L1" t="s">
        <v>83</v>
      </c>
      <c r="M1" t="s">
        <v>84</v>
      </c>
    </row>
    <row r="2" spans="1:13">
      <c r="B2" t="s">
        <v>60</v>
      </c>
      <c r="C2">
        <v>5</v>
      </c>
      <c r="I2" t="s">
        <v>94</v>
      </c>
      <c r="J2" t="s">
        <v>116</v>
      </c>
      <c r="K2" t="s">
        <v>5</v>
      </c>
      <c r="L2" t="s">
        <v>118</v>
      </c>
      <c r="M2" t="s">
        <v>117</v>
      </c>
    </row>
    <row r="3" spans="1:13">
      <c r="A3" t="s">
        <v>51</v>
      </c>
      <c r="B3">
        <v>5</v>
      </c>
      <c r="C3">
        <f>B3*C2</f>
        <v>25</v>
      </c>
      <c r="K3" t="s">
        <v>6</v>
      </c>
      <c r="L3" t="s">
        <v>119</v>
      </c>
    </row>
    <row r="4" spans="1:13">
      <c r="A4" t="s">
        <v>52</v>
      </c>
      <c r="B4">
        <v>3</v>
      </c>
      <c r="C4">
        <f>B4*C2</f>
        <v>15</v>
      </c>
      <c r="K4" t="s">
        <v>7</v>
      </c>
    </row>
    <row r="5" spans="1:13">
      <c r="A5" t="s">
        <v>53</v>
      </c>
      <c r="B5">
        <v>0.5</v>
      </c>
      <c r="C5">
        <f>B5*C2</f>
        <v>2.5</v>
      </c>
      <c r="K5" t="s">
        <v>114</v>
      </c>
    </row>
    <row r="6" spans="1:13">
      <c r="A6" t="s">
        <v>55</v>
      </c>
      <c r="B6">
        <v>1.25</v>
      </c>
      <c r="C6">
        <f>B6*C2</f>
        <v>6.25</v>
      </c>
      <c r="K6" t="s">
        <v>101</v>
      </c>
    </row>
    <row r="7" spans="1:13">
      <c r="A7" t="s">
        <v>56</v>
      </c>
      <c r="B7">
        <v>1.25</v>
      </c>
      <c r="C7">
        <f>B7*C2</f>
        <v>6.25</v>
      </c>
      <c r="K7" t="s">
        <v>115</v>
      </c>
    </row>
    <row r="8" spans="1:13">
      <c r="A8" t="s">
        <v>57</v>
      </c>
      <c r="B8">
        <v>0.3</v>
      </c>
      <c r="C8">
        <f>B8*C2</f>
        <v>1.5</v>
      </c>
    </row>
    <row r="9" spans="1:13">
      <c r="A9" t="s">
        <v>58</v>
      </c>
      <c r="B9">
        <v>12.45</v>
      </c>
      <c r="C9">
        <f>B9*C2</f>
        <v>62.25</v>
      </c>
    </row>
    <row r="10" spans="1:13">
      <c r="A10" t="s">
        <v>59</v>
      </c>
      <c r="B10">
        <v>1.25</v>
      </c>
      <c r="C10">
        <f>B10*C2</f>
        <v>6.25</v>
      </c>
    </row>
    <row r="11" spans="1:13">
      <c r="A11" t="s">
        <v>61</v>
      </c>
      <c r="B11">
        <v>25</v>
      </c>
      <c r="C11">
        <f>B11*C2</f>
        <v>125</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3"/>
  <sheetViews>
    <sheetView workbookViewId="0">
      <selection activeCell="H2" sqref="H2"/>
    </sheetView>
  </sheetViews>
  <sheetFormatPr baseColWidth="10" defaultColWidth="8.83203125" defaultRowHeight="14"/>
  <cols>
    <col min="9" max="9" width="14.6640625" customWidth="1"/>
    <col min="10" max="10" width="25.6640625" customWidth="1"/>
    <col min="11" max="11" width="33.6640625" customWidth="1"/>
    <col min="12" max="12" width="30.33203125" customWidth="1"/>
  </cols>
  <sheetData>
    <row r="1" spans="1:12">
      <c r="A1" t="s">
        <v>63</v>
      </c>
      <c r="H1" t="s">
        <v>80</v>
      </c>
      <c r="I1" t="s">
        <v>81</v>
      </c>
      <c r="J1" t="s">
        <v>82</v>
      </c>
      <c r="K1" t="s">
        <v>83</v>
      </c>
      <c r="L1" t="s">
        <v>84</v>
      </c>
    </row>
    <row r="2" spans="1:12" ht="18" customHeight="1">
      <c r="B2" t="s">
        <v>60</v>
      </c>
      <c r="C2">
        <v>20</v>
      </c>
      <c r="H2" t="s">
        <v>94</v>
      </c>
      <c r="I2" t="s">
        <v>120</v>
      </c>
      <c r="J2" s="1" t="s">
        <v>104</v>
      </c>
      <c r="K2" s="1" t="s">
        <v>175</v>
      </c>
      <c r="L2" s="1" t="s">
        <v>26</v>
      </c>
    </row>
    <row r="3" spans="1:12">
      <c r="A3" t="s">
        <v>64</v>
      </c>
      <c r="B3">
        <v>2.5</v>
      </c>
      <c r="C3">
        <f>B3*C2</f>
        <v>50</v>
      </c>
      <c r="J3" t="s">
        <v>121</v>
      </c>
      <c r="K3" t="s">
        <v>176</v>
      </c>
      <c r="L3" t="s">
        <v>27</v>
      </c>
    </row>
    <row r="4" spans="1:12">
      <c r="A4" t="s">
        <v>65</v>
      </c>
      <c r="B4">
        <v>3.45</v>
      </c>
      <c r="C4">
        <f>B4*C2</f>
        <v>69</v>
      </c>
      <c r="J4" t="s">
        <v>122</v>
      </c>
      <c r="K4" t="s">
        <v>177</v>
      </c>
      <c r="L4" t="s">
        <v>134</v>
      </c>
    </row>
    <row r="5" spans="1:12">
      <c r="A5" t="s">
        <v>53</v>
      </c>
      <c r="B5">
        <v>0.5</v>
      </c>
      <c r="C5">
        <f>B5*C2</f>
        <v>10</v>
      </c>
      <c r="J5" t="s">
        <v>106</v>
      </c>
      <c r="K5" t="s">
        <v>25</v>
      </c>
    </row>
    <row r="6" spans="1:12">
      <c r="A6" t="s">
        <v>55</v>
      </c>
      <c r="B6">
        <v>1.25</v>
      </c>
      <c r="C6">
        <f>B6*C2</f>
        <v>25</v>
      </c>
      <c r="J6" t="s">
        <v>90</v>
      </c>
    </row>
    <row r="7" spans="1:12">
      <c r="A7" t="s">
        <v>56</v>
      </c>
      <c r="B7">
        <v>1.25</v>
      </c>
      <c r="C7">
        <f>B7*C2</f>
        <v>25</v>
      </c>
      <c r="J7" t="s">
        <v>123</v>
      </c>
    </row>
    <row r="8" spans="1:12">
      <c r="A8" t="s">
        <v>66</v>
      </c>
      <c r="B8">
        <v>1.25</v>
      </c>
      <c r="C8">
        <f>B8*C2</f>
        <v>25</v>
      </c>
      <c r="J8" t="s">
        <v>174</v>
      </c>
    </row>
    <row r="9" spans="1:12">
      <c r="A9" t="s">
        <v>67</v>
      </c>
      <c r="B9">
        <v>1.25</v>
      </c>
      <c r="C9">
        <f>B9*C2</f>
        <v>25</v>
      </c>
    </row>
    <row r="10" spans="1:12">
      <c r="A10" t="s">
        <v>57</v>
      </c>
      <c r="B10">
        <v>0.5</v>
      </c>
      <c r="C10">
        <f>B10*C2</f>
        <v>10</v>
      </c>
    </row>
    <row r="11" spans="1:12">
      <c r="A11" t="s">
        <v>58</v>
      </c>
      <c r="B11">
        <v>11.05</v>
      </c>
      <c r="C11">
        <f>B11*C2</f>
        <v>221</v>
      </c>
    </row>
    <row r="12" spans="1:12">
      <c r="A12" t="s">
        <v>59</v>
      </c>
      <c r="B12">
        <v>2</v>
      </c>
      <c r="C12">
        <f>B12*C2</f>
        <v>40</v>
      </c>
    </row>
    <row r="13" spans="1:12">
      <c r="A13" t="s">
        <v>61</v>
      </c>
      <c r="B13">
        <f>SUM(B3:B12)</f>
        <v>25</v>
      </c>
      <c r="C13">
        <f>B13*C2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1"/>
  <sheetViews>
    <sheetView workbookViewId="0">
      <selection activeCell="I6" sqref="I6"/>
    </sheetView>
  </sheetViews>
  <sheetFormatPr baseColWidth="10" defaultColWidth="8.83203125" defaultRowHeight="14"/>
  <cols>
    <col min="1" max="1" width="13.5" customWidth="1"/>
    <col min="10" max="10" width="31.83203125" customWidth="1"/>
    <col min="11" max="11" width="20.6640625" customWidth="1"/>
    <col min="12" max="12" width="12.6640625" customWidth="1"/>
  </cols>
  <sheetData>
    <row r="1" spans="1:12">
      <c r="A1" t="s">
        <v>103</v>
      </c>
      <c r="H1" t="s">
        <v>80</v>
      </c>
      <c r="I1" t="s">
        <v>81</v>
      </c>
      <c r="J1" t="s">
        <v>82</v>
      </c>
      <c r="K1" t="s">
        <v>83</v>
      </c>
      <c r="L1" t="s">
        <v>84</v>
      </c>
    </row>
    <row r="2" spans="1:12" ht="17" customHeight="1">
      <c r="B2" s="8" t="s">
        <v>60</v>
      </c>
      <c r="C2">
        <v>20</v>
      </c>
      <c r="E2" s="7"/>
      <c r="H2" s="5" t="s">
        <v>94</v>
      </c>
      <c r="I2" s="5" t="s">
        <v>108</v>
      </c>
      <c r="J2" s="6" t="s">
        <v>109</v>
      </c>
      <c r="K2" s="1" t="s">
        <v>96</v>
      </c>
    </row>
    <row r="3" spans="1:12">
      <c r="A3" t="s">
        <v>51</v>
      </c>
      <c r="B3">
        <v>5</v>
      </c>
      <c r="C3">
        <f>B3*C2</f>
        <v>100</v>
      </c>
      <c r="J3" t="s">
        <v>110</v>
      </c>
    </row>
    <row r="4" spans="1:12">
      <c r="A4" t="s">
        <v>52</v>
      </c>
      <c r="B4">
        <v>2.5</v>
      </c>
      <c r="C4">
        <f>B4*C2</f>
        <v>50</v>
      </c>
      <c r="J4" t="s">
        <v>111</v>
      </c>
    </row>
    <row r="5" spans="1:12">
      <c r="A5" t="s">
        <v>53</v>
      </c>
      <c r="B5">
        <v>0.5</v>
      </c>
      <c r="C5">
        <f>B5*C2</f>
        <v>10</v>
      </c>
      <c r="J5" t="s">
        <v>106</v>
      </c>
    </row>
    <row r="6" spans="1:12">
      <c r="A6" t="s">
        <v>55</v>
      </c>
      <c r="B6">
        <v>1.25</v>
      </c>
      <c r="C6">
        <f>B6*C2</f>
        <v>25</v>
      </c>
      <c r="J6" t="s">
        <v>90</v>
      </c>
    </row>
    <row r="7" spans="1:12">
      <c r="A7" t="s">
        <v>56</v>
      </c>
      <c r="B7">
        <v>1.25</v>
      </c>
      <c r="C7">
        <f>B7*C2</f>
        <v>25</v>
      </c>
      <c r="J7" t="s">
        <v>107</v>
      </c>
    </row>
    <row r="8" spans="1:12">
      <c r="A8" t="s">
        <v>57</v>
      </c>
      <c r="B8">
        <v>0.2</v>
      </c>
      <c r="C8">
        <f>B8*C2</f>
        <v>4</v>
      </c>
      <c r="J8" t="s">
        <v>0</v>
      </c>
    </row>
    <row r="9" spans="1:12">
      <c r="A9" t="s">
        <v>58</v>
      </c>
      <c r="B9">
        <v>13.25</v>
      </c>
      <c r="C9">
        <f>B9*C2</f>
        <v>265</v>
      </c>
    </row>
    <row r="10" spans="1:12">
      <c r="A10" t="s">
        <v>59</v>
      </c>
      <c r="B10">
        <v>1</v>
      </c>
      <c r="C10">
        <f>B10*C2</f>
        <v>20</v>
      </c>
    </row>
    <row r="11" spans="1:12">
      <c r="A11" t="s">
        <v>61</v>
      </c>
      <c r="B11">
        <v>25</v>
      </c>
      <c r="C11">
        <f>B11*C2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1"/>
  <sheetViews>
    <sheetView topLeftCell="B1" workbookViewId="0">
      <selection activeCell="L2" sqref="L2"/>
    </sheetView>
  </sheetViews>
  <sheetFormatPr baseColWidth="10" defaultColWidth="8.83203125" defaultRowHeight="14"/>
  <cols>
    <col min="1" max="1" width="9.5" customWidth="1"/>
    <col min="10" max="10" width="25.5" customWidth="1"/>
    <col min="11" max="11" width="42" customWidth="1"/>
    <col min="12" max="12" width="13.1640625" customWidth="1"/>
  </cols>
  <sheetData>
    <row r="1" spans="1:12" ht="15">
      <c r="A1" t="s">
        <v>127</v>
      </c>
      <c r="H1" s="9" t="s">
        <v>80</v>
      </c>
      <c r="I1" s="9" t="s">
        <v>81</v>
      </c>
      <c r="J1" s="9" t="s">
        <v>82</v>
      </c>
      <c r="K1" s="9" t="s">
        <v>83</v>
      </c>
      <c r="L1" s="9" t="s">
        <v>84</v>
      </c>
    </row>
    <row r="2" spans="1:12">
      <c r="B2" t="s">
        <v>60</v>
      </c>
      <c r="C2">
        <v>20</v>
      </c>
      <c r="H2" t="s">
        <v>22</v>
      </c>
      <c r="I2" t="s">
        <v>127</v>
      </c>
      <c r="J2" s="1" t="s">
        <v>109</v>
      </c>
      <c r="K2" s="1" t="s">
        <v>129</v>
      </c>
      <c r="L2" s="1" t="s">
        <v>131</v>
      </c>
    </row>
    <row r="3" spans="1:12">
      <c r="A3" t="s">
        <v>51</v>
      </c>
      <c r="B3">
        <v>5</v>
      </c>
      <c r="C3">
        <f>B3*C2</f>
        <v>100</v>
      </c>
      <c r="J3" t="s">
        <v>87</v>
      </c>
      <c r="K3" t="s">
        <v>130</v>
      </c>
    </row>
    <row r="4" spans="1:12">
      <c r="A4" t="s">
        <v>52</v>
      </c>
      <c r="B4">
        <v>3</v>
      </c>
      <c r="C4">
        <f>B4*C2</f>
        <v>60</v>
      </c>
      <c r="J4" t="s">
        <v>128</v>
      </c>
    </row>
    <row r="5" spans="1:12">
      <c r="A5" t="s">
        <v>53</v>
      </c>
      <c r="B5">
        <v>0.5</v>
      </c>
      <c r="C5">
        <f>B5*C2</f>
        <v>10</v>
      </c>
      <c r="J5" t="s">
        <v>106</v>
      </c>
    </row>
    <row r="6" spans="1:12">
      <c r="A6" t="s">
        <v>55</v>
      </c>
      <c r="B6">
        <v>0.5</v>
      </c>
      <c r="C6">
        <f>B6*C2</f>
        <v>10</v>
      </c>
      <c r="J6" t="s">
        <v>101</v>
      </c>
    </row>
    <row r="7" spans="1:12">
      <c r="A7" t="s">
        <v>56</v>
      </c>
      <c r="B7">
        <v>0.5</v>
      </c>
      <c r="C7">
        <f>B7*C2</f>
        <v>10</v>
      </c>
      <c r="J7" t="s">
        <v>139</v>
      </c>
    </row>
    <row r="8" spans="1:12">
      <c r="A8" t="s">
        <v>57</v>
      </c>
      <c r="B8">
        <v>0.5</v>
      </c>
      <c r="C8">
        <f>B8*C2</f>
        <v>10</v>
      </c>
    </row>
    <row r="9" spans="1:12">
      <c r="A9" t="s">
        <v>58</v>
      </c>
      <c r="B9">
        <v>13.5</v>
      </c>
      <c r="C9">
        <f>B9*C2</f>
        <v>270</v>
      </c>
    </row>
    <row r="10" spans="1:12">
      <c r="A10" t="s">
        <v>59</v>
      </c>
      <c r="B10">
        <v>1</v>
      </c>
      <c r="C10">
        <f>B10*C2</f>
        <v>20</v>
      </c>
    </row>
    <row r="11" spans="1:12">
      <c r="A11" t="s">
        <v>61</v>
      </c>
      <c r="B11">
        <f>SUM(B3:B10)</f>
        <v>24.5</v>
      </c>
      <c r="C11">
        <f>B11*C2</f>
        <v>490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2"/>
  <sheetViews>
    <sheetView workbookViewId="0">
      <selection activeCell="C9" sqref="C9"/>
    </sheetView>
  </sheetViews>
  <sheetFormatPr baseColWidth="10" defaultColWidth="8.83203125" defaultRowHeight="14"/>
  <cols>
    <col min="1" max="1" width="9.5" customWidth="1"/>
    <col min="10" max="10" width="25.5" customWidth="1"/>
    <col min="11" max="11" width="41.33203125" customWidth="1"/>
    <col min="12" max="12" width="13.1640625" customWidth="1"/>
  </cols>
  <sheetData>
    <row r="1" spans="1:12" ht="15">
      <c r="A1" t="s">
        <v>126</v>
      </c>
      <c r="H1" s="9" t="s">
        <v>80</v>
      </c>
      <c r="I1" s="9" t="s">
        <v>81</v>
      </c>
      <c r="J1" s="9" t="s">
        <v>82</v>
      </c>
      <c r="K1" s="9" t="s">
        <v>83</v>
      </c>
      <c r="L1" s="9" t="s">
        <v>84</v>
      </c>
    </row>
    <row r="2" spans="1:12">
      <c r="B2" t="s">
        <v>60</v>
      </c>
      <c r="C2">
        <v>20</v>
      </c>
      <c r="H2" t="s">
        <v>22</v>
      </c>
      <c r="I2" t="s">
        <v>33</v>
      </c>
      <c r="J2" s="1" t="s">
        <v>104</v>
      </c>
      <c r="K2" s="1" t="s">
        <v>34</v>
      </c>
      <c r="L2" s="1" t="s">
        <v>124</v>
      </c>
    </row>
    <row r="3" spans="1:12">
      <c r="A3" t="s">
        <v>51</v>
      </c>
      <c r="B3">
        <v>5</v>
      </c>
      <c r="C3">
        <f>B3*C2</f>
        <v>100</v>
      </c>
      <c r="J3" t="s">
        <v>87</v>
      </c>
      <c r="K3" t="s">
        <v>35</v>
      </c>
      <c r="L3" t="s">
        <v>125</v>
      </c>
    </row>
    <row r="4" spans="1:12">
      <c r="A4" t="s">
        <v>52</v>
      </c>
      <c r="B4">
        <v>3</v>
      </c>
      <c r="C4">
        <f>B4*C2</f>
        <v>60</v>
      </c>
      <c r="J4" t="s">
        <v>88</v>
      </c>
      <c r="K4" t="s">
        <v>36</v>
      </c>
    </row>
    <row r="5" spans="1:12">
      <c r="A5" t="s">
        <v>53</v>
      </c>
      <c r="B5">
        <v>0.5</v>
      </c>
      <c r="C5">
        <f>B5*C2</f>
        <v>10</v>
      </c>
      <c r="J5" t="s">
        <v>100</v>
      </c>
    </row>
    <row r="6" spans="1:12">
      <c r="A6" t="s">
        <v>55</v>
      </c>
      <c r="B6">
        <v>0.5</v>
      </c>
      <c r="C6">
        <f>B6*C2</f>
        <v>10</v>
      </c>
      <c r="J6" t="s">
        <v>101</v>
      </c>
    </row>
    <row r="7" spans="1:12">
      <c r="A7" t="s">
        <v>56</v>
      </c>
      <c r="B7">
        <v>0.5</v>
      </c>
      <c r="C7">
        <f>B7*C2</f>
        <v>10</v>
      </c>
      <c r="J7" t="s">
        <v>107</v>
      </c>
    </row>
    <row r="8" spans="1:12">
      <c r="A8" t="s">
        <v>66</v>
      </c>
      <c r="B8">
        <v>0.5</v>
      </c>
      <c r="C8">
        <f>B8*C2</f>
        <v>10</v>
      </c>
    </row>
    <row r="9" spans="1:12">
      <c r="A9" t="s">
        <v>57</v>
      </c>
      <c r="B9">
        <v>0.5</v>
      </c>
      <c r="C9">
        <f>B9*C2</f>
        <v>10</v>
      </c>
    </row>
    <row r="10" spans="1:12">
      <c r="A10" t="s">
        <v>58</v>
      </c>
      <c r="B10">
        <v>13.5</v>
      </c>
      <c r="C10">
        <f>B10*C2</f>
        <v>270</v>
      </c>
    </row>
    <row r="11" spans="1:12">
      <c r="A11" t="s">
        <v>59</v>
      </c>
      <c r="B11">
        <v>1</v>
      </c>
      <c r="C11">
        <f>B11*C2</f>
        <v>20</v>
      </c>
    </row>
    <row r="12" spans="1:12">
      <c r="A12" t="s">
        <v>61</v>
      </c>
      <c r="B12">
        <f>SUM(B3:B11)</f>
        <v>25</v>
      </c>
      <c r="C12">
        <f>B12*C2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1"/>
  <sheetViews>
    <sheetView workbookViewId="0">
      <selection activeCell="J14" sqref="J14"/>
    </sheetView>
  </sheetViews>
  <sheetFormatPr baseColWidth="10" defaultColWidth="8.83203125" defaultRowHeight="14"/>
  <cols>
    <col min="1" max="1" width="9.5" customWidth="1"/>
    <col min="10" max="10" width="25.5" customWidth="1"/>
    <col min="11" max="11" width="41.33203125" customWidth="1"/>
    <col min="12" max="12" width="13.1640625" customWidth="1"/>
  </cols>
  <sheetData>
    <row r="1" spans="1:12" ht="15">
      <c r="A1" t="s">
        <v>78</v>
      </c>
      <c r="H1" s="9" t="s">
        <v>80</v>
      </c>
      <c r="I1" s="9" t="s">
        <v>81</v>
      </c>
      <c r="J1" s="9" t="s">
        <v>82</v>
      </c>
      <c r="K1" s="9" t="s">
        <v>83</v>
      </c>
      <c r="L1" s="9" t="s">
        <v>84</v>
      </c>
    </row>
    <row r="2" spans="1:12">
      <c r="B2" t="s">
        <v>60</v>
      </c>
      <c r="C2">
        <v>20</v>
      </c>
      <c r="H2" t="s">
        <v>22</v>
      </c>
      <c r="I2" t="s">
        <v>21</v>
      </c>
      <c r="J2" s="1" t="s">
        <v>104</v>
      </c>
      <c r="K2" s="1" t="s">
        <v>140</v>
      </c>
      <c r="L2" s="1" t="s">
        <v>142</v>
      </c>
    </row>
    <row r="3" spans="1:12">
      <c r="A3" t="s">
        <v>64</v>
      </c>
      <c r="B3">
        <v>2.5</v>
      </c>
      <c r="C3">
        <f>B3*C2</f>
        <v>50</v>
      </c>
      <c r="J3" t="s">
        <v>87</v>
      </c>
      <c r="K3" t="s">
        <v>141</v>
      </c>
      <c r="L3" t="s">
        <v>143</v>
      </c>
    </row>
    <row r="4" spans="1:12">
      <c r="A4" t="s">
        <v>52</v>
      </c>
      <c r="B4">
        <v>3</v>
      </c>
      <c r="C4">
        <f>B4*C2</f>
        <v>60</v>
      </c>
      <c r="J4" t="s">
        <v>23</v>
      </c>
      <c r="L4" t="s">
        <v>144</v>
      </c>
    </row>
    <row r="5" spans="1:12">
      <c r="A5" t="s">
        <v>53</v>
      </c>
      <c r="B5">
        <v>0.5</v>
      </c>
      <c r="C5">
        <f>B5*C2</f>
        <v>10</v>
      </c>
      <c r="J5" t="s">
        <v>24</v>
      </c>
    </row>
    <row r="6" spans="1:12">
      <c r="A6" t="s">
        <v>55</v>
      </c>
      <c r="B6">
        <v>1.5</v>
      </c>
      <c r="C6">
        <f>B6*C2</f>
        <v>30</v>
      </c>
      <c r="J6" t="s">
        <v>16</v>
      </c>
    </row>
    <row r="7" spans="1:12">
      <c r="A7" t="s">
        <v>56</v>
      </c>
      <c r="B7">
        <v>1.5</v>
      </c>
      <c r="C7">
        <f>B7*C2</f>
        <v>30</v>
      </c>
      <c r="J7" t="s">
        <v>139</v>
      </c>
    </row>
    <row r="8" spans="1:12">
      <c r="A8" t="s">
        <v>57</v>
      </c>
      <c r="B8">
        <v>0.5</v>
      </c>
      <c r="C8">
        <f>B8*C2</f>
        <v>10</v>
      </c>
    </row>
    <row r="9" spans="1:12">
      <c r="A9" t="s">
        <v>58</v>
      </c>
      <c r="B9">
        <v>14.5</v>
      </c>
      <c r="C9">
        <f>B9*C2</f>
        <v>290</v>
      </c>
    </row>
    <row r="10" spans="1:12">
      <c r="A10" t="s">
        <v>59</v>
      </c>
      <c r="B10">
        <v>1</v>
      </c>
      <c r="C10">
        <f>B10*C2</f>
        <v>20</v>
      </c>
    </row>
    <row r="11" spans="1:12">
      <c r="A11" t="s">
        <v>61</v>
      </c>
      <c r="B11">
        <f>SUM(B3:B10)</f>
        <v>25</v>
      </c>
      <c r="C11">
        <f>B11*C2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3"/>
  <sheetViews>
    <sheetView workbookViewId="0">
      <selection activeCell="J16" sqref="J16"/>
    </sheetView>
  </sheetViews>
  <sheetFormatPr baseColWidth="10" defaultColWidth="8.83203125" defaultRowHeight="14"/>
  <cols>
    <col min="9" max="9" width="22.6640625" customWidth="1"/>
    <col min="10" max="10" width="34" customWidth="1"/>
    <col min="11" max="11" width="15" customWidth="1"/>
  </cols>
  <sheetData>
    <row r="1" spans="1:11">
      <c r="A1" t="s">
        <v>77</v>
      </c>
      <c r="G1" t="s">
        <v>80</v>
      </c>
      <c r="H1" t="s">
        <v>81</v>
      </c>
      <c r="I1" t="s">
        <v>82</v>
      </c>
      <c r="J1" t="s">
        <v>83</v>
      </c>
      <c r="K1" t="s">
        <v>84</v>
      </c>
    </row>
    <row r="2" spans="1:11">
      <c r="B2" t="s">
        <v>60</v>
      </c>
      <c r="C2">
        <v>20</v>
      </c>
      <c r="G2" t="s">
        <v>22</v>
      </c>
      <c r="H2" t="s">
        <v>145</v>
      </c>
      <c r="I2" s="1" t="s">
        <v>104</v>
      </c>
      <c r="J2" s="1" t="s">
        <v>148</v>
      </c>
      <c r="K2" s="10" t="s">
        <v>151</v>
      </c>
    </row>
    <row r="3" spans="1:11">
      <c r="A3" t="s">
        <v>64</v>
      </c>
      <c r="B3">
        <v>2.5</v>
      </c>
      <c r="C3">
        <f>B3*C2</f>
        <v>50</v>
      </c>
      <c r="I3" t="s">
        <v>87</v>
      </c>
      <c r="J3" t="s">
        <v>149</v>
      </c>
      <c r="K3" t="s">
        <v>152</v>
      </c>
    </row>
    <row r="4" spans="1:11">
      <c r="A4" t="s">
        <v>65</v>
      </c>
      <c r="B4">
        <v>2.5</v>
      </c>
      <c r="C4">
        <f>B4*C2</f>
        <v>50</v>
      </c>
      <c r="I4" t="s">
        <v>146</v>
      </c>
      <c r="J4" t="s">
        <v>150</v>
      </c>
    </row>
    <row r="5" spans="1:11">
      <c r="A5" t="s">
        <v>52</v>
      </c>
      <c r="B5">
        <v>3</v>
      </c>
      <c r="C5">
        <f>B5*C2</f>
        <v>60</v>
      </c>
      <c r="I5" t="s">
        <v>100</v>
      </c>
    </row>
    <row r="6" spans="1:11">
      <c r="A6" t="s">
        <v>53</v>
      </c>
      <c r="B6">
        <v>0.5</v>
      </c>
      <c r="C6">
        <f>B6*C2</f>
        <v>10</v>
      </c>
      <c r="I6" t="s">
        <v>147</v>
      </c>
    </row>
    <row r="7" spans="1:11">
      <c r="A7" t="s">
        <v>55</v>
      </c>
      <c r="B7">
        <v>1.5</v>
      </c>
      <c r="C7">
        <f>B7*C2</f>
        <v>30</v>
      </c>
      <c r="I7" t="s">
        <v>107</v>
      </c>
    </row>
    <row r="8" spans="1:11">
      <c r="A8" t="s">
        <v>56</v>
      </c>
      <c r="B8">
        <v>1.5</v>
      </c>
      <c r="C8">
        <f>B8*C2</f>
        <v>30</v>
      </c>
    </row>
    <row r="9" spans="1:11">
      <c r="A9" t="s">
        <v>66</v>
      </c>
      <c r="B9">
        <v>1.5</v>
      </c>
      <c r="C9">
        <f>B9*C2</f>
        <v>30</v>
      </c>
    </row>
    <row r="10" spans="1:11">
      <c r="A10" t="s">
        <v>57</v>
      </c>
      <c r="B10">
        <v>0.5</v>
      </c>
      <c r="C10">
        <f>B10*C2</f>
        <v>10</v>
      </c>
    </row>
    <row r="11" spans="1:11">
      <c r="A11" t="s">
        <v>58</v>
      </c>
      <c r="B11">
        <v>10.5</v>
      </c>
      <c r="C11">
        <f>B11*C2</f>
        <v>210</v>
      </c>
    </row>
    <row r="12" spans="1:11">
      <c r="A12" t="s">
        <v>59</v>
      </c>
      <c r="B12">
        <v>1</v>
      </c>
      <c r="C12">
        <f>B12*C2</f>
        <v>20</v>
      </c>
    </row>
    <row r="13" spans="1:11">
      <c r="A13" t="s">
        <v>61</v>
      </c>
      <c r="B13">
        <f>SUM(B3:B12)</f>
        <v>25</v>
      </c>
      <c r="C13">
        <f>B13*C2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2"/>
  <sheetViews>
    <sheetView workbookViewId="0">
      <selection activeCell="K2" sqref="K2:K4"/>
    </sheetView>
  </sheetViews>
  <sheetFormatPr baseColWidth="10" defaultColWidth="8.83203125" defaultRowHeight="14"/>
  <cols>
    <col min="10" max="10" width="34.83203125" customWidth="1"/>
    <col min="11" max="11" width="39.1640625" customWidth="1"/>
    <col min="12" max="12" width="18.83203125" customWidth="1"/>
  </cols>
  <sheetData>
    <row r="1" spans="1:12">
      <c r="A1" t="s">
        <v>76</v>
      </c>
      <c r="H1" t="s">
        <v>80</v>
      </c>
      <c r="I1" t="s">
        <v>81</v>
      </c>
      <c r="J1" t="s">
        <v>82</v>
      </c>
      <c r="K1" t="s">
        <v>83</v>
      </c>
      <c r="L1" t="s">
        <v>84</v>
      </c>
    </row>
    <row r="2" spans="1:12">
      <c r="B2" t="s">
        <v>60</v>
      </c>
      <c r="C2">
        <v>20</v>
      </c>
      <c r="H2" t="s">
        <v>153</v>
      </c>
      <c r="I2" t="s">
        <v>154</v>
      </c>
      <c r="J2" s="1" t="s">
        <v>104</v>
      </c>
      <c r="K2" s="1" t="s">
        <v>156</v>
      </c>
    </row>
    <row r="3" spans="1:12">
      <c r="A3" t="s">
        <v>51</v>
      </c>
      <c r="B3">
        <v>5</v>
      </c>
      <c r="C3">
        <f>B3*C2</f>
        <v>100</v>
      </c>
      <c r="J3" t="s">
        <v>87</v>
      </c>
      <c r="K3" t="s">
        <v>157</v>
      </c>
    </row>
    <row r="4" spans="1:12">
      <c r="A4" t="s">
        <v>52</v>
      </c>
      <c r="B4">
        <v>2.5</v>
      </c>
      <c r="C4">
        <f>B4*C2</f>
        <v>50</v>
      </c>
      <c r="J4" t="s">
        <v>155</v>
      </c>
      <c r="K4" t="s">
        <v>158</v>
      </c>
    </row>
    <row r="5" spans="1:12">
      <c r="A5" t="s">
        <v>53</v>
      </c>
      <c r="B5">
        <v>0.5</v>
      </c>
      <c r="C5">
        <f>B5*C2</f>
        <v>10</v>
      </c>
      <c r="J5" t="s">
        <v>100</v>
      </c>
    </row>
    <row r="6" spans="1:12">
      <c r="A6" t="s">
        <v>55</v>
      </c>
      <c r="B6">
        <v>1.25</v>
      </c>
      <c r="C6">
        <f>B6*C2</f>
        <v>25</v>
      </c>
      <c r="J6" t="s">
        <v>90</v>
      </c>
    </row>
    <row r="7" spans="1:12">
      <c r="A7" t="s">
        <v>56</v>
      </c>
      <c r="B7">
        <v>1.25</v>
      </c>
      <c r="C7">
        <f>B7*C2</f>
        <v>25</v>
      </c>
      <c r="J7" t="s">
        <v>107</v>
      </c>
    </row>
    <row r="8" spans="1:12">
      <c r="A8" t="s">
        <v>66</v>
      </c>
      <c r="B8">
        <v>1.25</v>
      </c>
      <c r="C8">
        <f>B8*C2</f>
        <v>25</v>
      </c>
    </row>
    <row r="9" spans="1:12">
      <c r="A9" t="s">
        <v>57</v>
      </c>
      <c r="B9">
        <v>0.25</v>
      </c>
      <c r="C9">
        <f>B9*C2</f>
        <v>5</v>
      </c>
    </row>
    <row r="10" spans="1:12">
      <c r="A10" t="s">
        <v>58</v>
      </c>
      <c r="B10">
        <v>13.25</v>
      </c>
      <c r="C10">
        <f>B10*C2</f>
        <v>265</v>
      </c>
    </row>
    <row r="11" spans="1:12">
      <c r="A11" t="s">
        <v>59</v>
      </c>
      <c r="B11">
        <v>1</v>
      </c>
      <c r="C11">
        <f>B11*C2</f>
        <v>20</v>
      </c>
    </row>
    <row r="12" spans="1:12">
      <c r="A12" t="s">
        <v>61</v>
      </c>
      <c r="B12">
        <v>25</v>
      </c>
      <c r="C12">
        <f>B12*C2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2"/>
  <sheetViews>
    <sheetView workbookViewId="0">
      <selection activeCell="G61" sqref="G61"/>
    </sheetView>
  </sheetViews>
  <sheetFormatPr baseColWidth="10" defaultColWidth="8.83203125" defaultRowHeight="14"/>
  <cols>
    <col min="9" max="9" width="24.83203125" customWidth="1"/>
    <col min="10" max="10" width="36.83203125" customWidth="1"/>
  </cols>
  <sheetData>
    <row r="1" spans="1:11">
      <c r="A1" t="s">
        <v>75</v>
      </c>
      <c r="G1" t="s">
        <v>80</v>
      </c>
      <c r="H1" t="s">
        <v>81</v>
      </c>
      <c r="I1" t="s">
        <v>82</v>
      </c>
      <c r="J1" t="s">
        <v>83</v>
      </c>
      <c r="K1" t="s">
        <v>84</v>
      </c>
    </row>
    <row r="2" spans="1:11">
      <c r="B2" t="s">
        <v>60</v>
      </c>
      <c r="C2">
        <v>20</v>
      </c>
      <c r="G2" t="s">
        <v>159</v>
      </c>
      <c r="H2" t="s">
        <v>160</v>
      </c>
      <c r="I2" s="1" t="s">
        <v>104</v>
      </c>
      <c r="J2" s="1" t="s">
        <v>166</v>
      </c>
    </row>
    <row r="3" spans="1:11">
      <c r="A3" t="s">
        <v>51</v>
      </c>
      <c r="B3">
        <v>5</v>
      </c>
      <c r="C3">
        <f>B3*C2</f>
        <v>100</v>
      </c>
      <c r="I3" t="s">
        <v>87</v>
      </c>
      <c r="J3" t="s">
        <v>167</v>
      </c>
    </row>
    <row r="4" spans="1:11">
      <c r="A4" t="s">
        <v>52</v>
      </c>
      <c r="B4">
        <v>2.5</v>
      </c>
      <c r="C4">
        <f>B4*C2</f>
        <v>50</v>
      </c>
      <c r="I4" t="s">
        <v>161</v>
      </c>
      <c r="J4" t="s">
        <v>168</v>
      </c>
    </row>
    <row r="5" spans="1:11">
      <c r="A5" t="s">
        <v>53</v>
      </c>
      <c r="B5">
        <v>0.5</v>
      </c>
      <c r="C5">
        <f>B5*C2</f>
        <v>10</v>
      </c>
      <c r="I5" t="s">
        <v>162</v>
      </c>
    </row>
    <row r="6" spans="1:11">
      <c r="A6" t="s">
        <v>55</v>
      </c>
      <c r="B6">
        <v>1.25</v>
      </c>
      <c r="C6">
        <f>B6*C2</f>
        <v>25</v>
      </c>
      <c r="I6" t="s">
        <v>163</v>
      </c>
    </row>
    <row r="7" spans="1:11">
      <c r="A7" t="s">
        <v>56</v>
      </c>
      <c r="B7">
        <v>1.25</v>
      </c>
      <c r="C7">
        <f>B7*C2</f>
        <v>25</v>
      </c>
      <c r="I7" t="s">
        <v>164</v>
      </c>
    </row>
    <row r="8" spans="1:11">
      <c r="A8" t="s">
        <v>66</v>
      </c>
      <c r="B8">
        <v>1.25</v>
      </c>
      <c r="C8">
        <f>B8*C2</f>
        <v>25</v>
      </c>
      <c r="I8" t="s">
        <v>165</v>
      </c>
    </row>
    <row r="9" spans="1:11">
      <c r="A9" t="s">
        <v>57</v>
      </c>
      <c r="B9">
        <v>0.25</v>
      </c>
      <c r="C9">
        <f>B9*C2</f>
        <v>5</v>
      </c>
    </row>
    <row r="10" spans="1:11">
      <c r="A10" t="s">
        <v>58</v>
      </c>
      <c r="B10">
        <v>12</v>
      </c>
      <c r="C10">
        <f>B10*C2</f>
        <v>240</v>
      </c>
    </row>
    <row r="11" spans="1:11">
      <c r="A11" t="s">
        <v>59</v>
      </c>
      <c r="B11">
        <v>1</v>
      </c>
      <c r="C11">
        <f>B11*C2</f>
        <v>20</v>
      </c>
    </row>
    <row r="12" spans="1:11">
      <c r="A12" t="s">
        <v>61</v>
      </c>
      <c r="B12">
        <v>25</v>
      </c>
      <c r="C12">
        <f>B12*C2</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11"/>
  <sheetViews>
    <sheetView workbookViewId="0">
      <selection activeCell="K10" sqref="K10"/>
    </sheetView>
  </sheetViews>
  <sheetFormatPr baseColWidth="10" defaultColWidth="8.83203125" defaultRowHeight="14"/>
  <cols>
    <col min="10" max="10" width="25.1640625" customWidth="1"/>
    <col min="11" max="11" width="30.6640625" customWidth="1"/>
  </cols>
  <sheetData>
    <row r="1" spans="1:12">
      <c r="A1" t="s">
        <v>69</v>
      </c>
      <c r="H1" t="s">
        <v>80</v>
      </c>
      <c r="I1" t="s">
        <v>81</v>
      </c>
      <c r="J1" t="s">
        <v>82</v>
      </c>
      <c r="K1" t="s">
        <v>83</v>
      </c>
      <c r="L1" t="s">
        <v>84</v>
      </c>
    </row>
    <row r="2" spans="1:12">
      <c r="B2" t="s">
        <v>60</v>
      </c>
      <c r="C2">
        <v>20</v>
      </c>
      <c r="H2" t="s">
        <v>94</v>
      </c>
      <c r="I2" t="s">
        <v>69</v>
      </c>
      <c r="J2" s="1" t="s">
        <v>97</v>
      </c>
      <c r="K2" t="s">
        <v>169</v>
      </c>
    </row>
    <row r="3" spans="1:12">
      <c r="A3" t="s">
        <v>51</v>
      </c>
      <c r="B3">
        <v>5</v>
      </c>
      <c r="C3">
        <f>B3*C2</f>
        <v>100</v>
      </c>
      <c r="J3" t="s">
        <v>98</v>
      </c>
      <c r="K3" t="s">
        <v>170</v>
      </c>
    </row>
    <row r="4" spans="1:12">
      <c r="A4" t="s">
        <v>52</v>
      </c>
      <c r="B4">
        <v>2.5</v>
      </c>
      <c r="C4">
        <f>B4*C2</f>
        <v>50</v>
      </c>
      <c r="J4" t="s">
        <v>99</v>
      </c>
    </row>
    <row r="5" spans="1:12">
      <c r="A5" t="s">
        <v>53</v>
      </c>
      <c r="B5">
        <v>0.5</v>
      </c>
      <c r="C5">
        <f>B5*C2</f>
        <v>10</v>
      </c>
      <c r="J5" t="s">
        <v>100</v>
      </c>
    </row>
    <row r="6" spans="1:12">
      <c r="A6" t="s">
        <v>55</v>
      </c>
      <c r="B6">
        <v>1.25</v>
      </c>
      <c r="C6">
        <f>B6*C2</f>
        <v>25</v>
      </c>
      <c r="J6" t="s">
        <v>101</v>
      </c>
    </row>
    <row r="7" spans="1:12">
      <c r="A7" t="s">
        <v>56</v>
      </c>
      <c r="B7">
        <v>1.25</v>
      </c>
      <c r="C7">
        <f>B7*C2</f>
        <v>25</v>
      </c>
      <c r="J7" t="s">
        <v>91</v>
      </c>
    </row>
    <row r="8" spans="1:12">
      <c r="A8" t="s">
        <v>57</v>
      </c>
      <c r="B8">
        <v>0.25</v>
      </c>
      <c r="C8">
        <f>B8*C2</f>
        <v>5</v>
      </c>
    </row>
    <row r="9" spans="1:12">
      <c r="A9" t="s">
        <v>58</v>
      </c>
      <c r="B9">
        <v>13.25</v>
      </c>
      <c r="C9">
        <f>B9*C2</f>
        <v>265</v>
      </c>
    </row>
    <row r="10" spans="1:12">
      <c r="A10" t="s">
        <v>59</v>
      </c>
      <c r="B10">
        <v>1</v>
      </c>
      <c r="C10">
        <f>B10*C2</f>
        <v>20</v>
      </c>
    </row>
    <row r="11" spans="1:12">
      <c r="A11" t="s">
        <v>61</v>
      </c>
      <c r="B11">
        <f>SUM(B3:B10)</f>
        <v>25</v>
      </c>
      <c r="C11">
        <f>SUM(C3:C10)</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M25"/>
  <sheetViews>
    <sheetView workbookViewId="0">
      <selection activeCell="C25" sqref="A1:C25"/>
    </sheetView>
  </sheetViews>
  <sheetFormatPr baseColWidth="10" defaultColWidth="8.83203125" defaultRowHeight="14"/>
  <cols>
    <col min="1" max="1" width="11" customWidth="1"/>
    <col min="9" max="9" width="14" customWidth="1"/>
    <col min="10" max="10" width="24.5" customWidth="1"/>
    <col min="11" max="11" width="46.5" customWidth="1"/>
    <col min="12" max="12" width="18.33203125" customWidth="1"/>
  </cols>
  <sheetData>
    <row r="1" spans="1:13">
      <c r="A1" t="s">
        <v>70</v>
      </c>
      <c r="H1" t="s">
        <v>80</v>
      </c>
      <c r="I1" t="s">
        <v>81</v>
      </c>
      <c r="J1" t="s">
        <v>82</v>
      </c>
      <c r="K1" t="s">
        <v>83</v>
      </c>
      <c r="L1" t="s">
        <v>84</v>
      </c>
      <c r="M1" t="s">
        <v>43</v>
      </c>
    </row>
    <row r="2" spans="1:13">
      <c r="B2" t="s">
        <v>60</v>
      </c>
      <c r="C2">
        <v>12</v>
      </c>
      <c r="H2" t="s">
        <v>171</v>
      </c>
      <c r="I2" t="s">
        <v>172</v>
      </c>
      <c r="J2" s="1" t="s">
        <v>109</v>
      </c>
      <c r="K2" s="1" t="s">
        <v>40</v>
      </c>
      <c r="L2" t="s">
        <v>173</v>
      </c>
    </row>
    <row r="3" spans="1:13">
      <c r="A3" t="s">
        <v>51</v>
      </c>
      <c r="B3">
        <v>5</v>
      </c>
      <c r="C3">
        <f>B3*C2</f>
        <v>60</v>
      </c>
      <c r="J3" t="s">
        <v>110</v>
      </c>
      <c r="K3" t="s">
        <v>41</v>
      </c>
    </row>
    <row r="4" spans="1:13">
      <c r="A4" t="s">
        <v>52</v>
      </c>
      <c r="B4">
        <v>1.5</v>
      </c>
      <c r="C4">
        <f>B4*C2</f>
        <v>18</v>
      </c>
      <c r="J4" t="s">
        <v>37</v>
      </c>
      <c r="K4" t="s">
        <v>42</v>
      </c>
    </row>
    <row r="5" spans="1:13">
      <c r="A5" t="s">
        <v>53</v>
      </c>
      <c r="B5">
        <v>0.5</v>
      </c>
      <c r="C5">
        <f>B5*C2</f>
        <v>6</v>
      </c>
      <c r="J5" t="s">
        <v>100</v>
      </c>
    </row>
    <row r="6" spans="1:13">
      <c r="A6" t="s">
        <v>71</v>
      </c>
      <c r="B6">
        <v>1</v>
      </c>
      <c r="C6">
        <f>B6*C2</f>
        <v>12</v>
      </c>
      <c r="J6" t="s">
        <v>38</v>
      </c>
    </row>
    <row r="7" spans="1:13">
      <c r="A7" t="s">
        <v>72</v>
      </c>
      <c r="B7">
        <v>1</v>
      </c>
      <c r="C7">
        <f>B7*C2</f>
        <v>12</v>
      </c>
      <c r="J7" t="s">
        <v>107</v>
      </c>
    </row>
    <row r="8" spans="1:13">
      <c r="A8" t="s">
        <v>57</v>
      </c>
      <c r="B8">
        <v>0.2</v>
      </c>
      <c r="C8">
        <f>B8*C2</f>
        <v>2.4000000000000004</v>
      </c>
      <c r="J8" t="s">
        <v>39</v>
      </c>
    </row>
    <row r="9" spans="1:13">
      <c r="A9" t="s">
        <v>58</v>
      </c>
      <c r="B9">
        <v>14.8</v>
      </c>
      <c r="C9">
        <f>B9*C2</f>
        <v>177.60000000000002</v>
      </c>
    </row>
    <row r="10" spans="1:13">
      <c r="A10" t="s">
        <v>59</v>
      </c>
      <c r="B10">
        <v>1</v>
      </c>
      <c r="C10">
        <f>B10*C2</f>
        <v>12</v>
      </c>
    </row>
    <row r="11" spans="1:13">
      <c r="A11" t="s">
        <v>61</v>
      </c>
      <c r="B11">
        <v>25</v>
      </c>
      <c r="C11">
        <f>B11*C2</f>
        <v>300</v>
      </c>
    </row>
    <row r="15" spans="1:13">
      <c r="A15" t="s">
        <v>73</v>
      </c>
    </row>
    <row r="16" spans="1:13">
      <c r="B16" t="s">
        <v>60</v>
      </c>
      <c r="C16">
        <v>12</v>
      </c>
    </row>
    <row r="17" spans="1:3">
      <c r="A17" t="s">
        <v>51</v>
      </c>
      <c r="B17">
        <v>5</v>
      </c>
      <c r="C17">
        <f>B17*C16</f>
        <v>60</v>
      </c>
    </row>
    <row r="18" spans="1:3">
      <c r="A18" t="s">
        <v>52</v>
      </c>
      <c r="B18">
        <v>1.5</v>
      </c>
      <c r="C18">
        <f>B18*C16</f>
        <v>18</v>
      </c>
    </row>
    <row r="19" spans="1:3">
      <c r="A19" t="s">
        <v>53</v>
      </c>
      <c r="B19">
        <v>0.5</v>
      </c>
      <c r="C19">
        <f>B19*C16</f>
        <v>6</v>
      </c>
    </row>
    <row r="20" spans="1:3">
      <c r="A20" t="s">
        <v>71</v>
      </c>
      <c r="B20">
        <v>1</v>
      </c>
      <c r="C20">
        <f>B20*C16</f>
        <v>12</v>
      </c>
    </row>
    <row r="21" spans="1:3">
      <c r="A21" t="s">
        <v>74</v>
      </c>
      <c r="B21">
        <v>1</v>
      </c>
      <c r="C21">
        <f>B21*C16</f>
        <v>12</v>
      </c>
    </row>
    <row r="22" spans="1:3">
      <c r="A22" t="s">
        <v>57</v>
      </c>
      <c r="B22">
        <v>0.2</v>
      </c>
      <c r="C22">
        <f>B22*C16</f>
        <v>2.4000000000000004</v>
      </c>
    </row>
    <row r="23" spans="1:3">
      <c r="A23" t="s">
        <v>58</v>
      </c>
      <c r="B23">
        <v>14.8</v>
      </c>
      <c r="C23">
        <f>B23*C16</f>
        <v>177.60000000000002</v>
      </c>
    </row>
    <row r="24" spans="1:3">
      <c r="A24" t="s">
        <v>59</v>
      </c>
      <c r="B24">
        <v>1</v>
      </c>
      <c r="C24">
        <f>B24*C16</f>
        <v>12</v>
      </c>
    </row>
    <row r="25" spans="1:3">
      <c r="A25" t="s">
        <v>61</v>
      </c>
      <c r="B25">
        <v>25</v>
      </c>
      <c r="C25">
        <f>B25*C16</f>
        <v>300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11"/>
  <sheetViews>
    <sheetView topLeftCell="AW1" workbookViewId="0">
      <selection activeCell="A13" sqref="A13"/>
    </sheetView>
  </sheetViews>
  <sheetFormatPr baseColWidth="10" defaultRowHeight="14"/>
  <sheetData>
    <row r="1" spans="1:3">
      <c r="A1" t="s">
        <v>28</v>
      </c>
    </row>
    <row r="2" spans="1:3">
      <c r="B2" t="s">
        <v>60</v>
      </c>
      <c r="C2">
        <v>40</v>
      </c>
    </row>
    <row r="3" spans="1:3">
      <c r="A3" t="s">
        <v>51</v>
      </c>
      <c r="B3">
        <v>5</v>
      </c>
      <c r="C3">
        <f>B3*C2</f>
        <v>200</v>
      </c>
    </row>
    <row r="4" spans="1:3">
      <c r="A4" t="s">
        <v>52</v>
      </c>
      <c r="B4">
        <v>1.5</v>
      </c>
      <c r="C4">
        <f>B4*C2</f>
        <v>60</v>
      </c>
    </row>
    <row r="5" spans="1:3">
      <c r="A5" t="s">
        <v>53</v>
      </c>
      <c r="B5">
        <v>0.5</v>
      </c>
      <c r="C5">
        <f>B5*C2</f>
        <v>20</v>
      </c>
    </row>
    <row r="6" spans="1:3">
      <c r="A6" t="s">
        <v>55</v>
      </c>
      <c r="B6">
        <v>1.25</v>
      </c>
      <c r="C6">
        <f>B6*C2</f>
        <v>50</v>
      </c>
    </row>
    <row r="7" spans="1:3">
      <c r="A7" t="s">
        <v>56</v>
      </c>
      <c r="B7">
        <v>1.25</v>
      </c>
      <c r="C7">
        <f>B7*C2</f>
        <v>50</v>
      </c>
    </row>
    <row r="8" spans="1:3">
      <c r="A8" t="s">
        <v>57</v>
      </c>
      <c r="B8">
        <v>0.3</v>
      </c>
      <c r="C8">
        <f>B8*C2</f>
        <v>12</v>
      </c>
    </row>
    <row r="9" spans="1:3">
      <c r="A9" t="s">
        <v>58</v>
      </c>
      <c r="B9">
        <v>13.95</v>
      </c>
      <c r="C9">
        <f>B9*C2</f>
        <v>558</v>
      </c>
    </row>
    <row r="10" spans="1:3">
      <c r="A10" t="s">
        <v>59</v>
      </c>
      <c r="B10">
        <v>1.25</v>
      </c>
      <c r="C10">
        <f>B10*C2</f>
        <v>50</v>
      </c>
    </row>
    <row r="11" spans="1:3">
      <c r="A11" t="s">
        <v>61</v>
      </c>
      <c r="B11">
        <f>SUM(B3:B10)</f>
        <v>25</v>
      </c>
      <c r="C11">
        <f>SUM(C3:C10)</f>
        <v>1000</v>
      </c>
    </row>
  </sheetData>
  <phoneticPr fontId="6" type="noConversion"/>
  <pageMargins left="0.75" right="0.75" top="1" bottom="1" header="0.5" footer="0.5"/>
  <extLst>
    <ext xmlns:mx="http://schemas.microsoft.com/office/mac/excel/2008/main" uri="http://schemas.microsoft.com/office/mac/excel/2008/main">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11"/>
  <sheetViews>
    <sheetView view="pageLayout" workbookViewId="0">
      <selection activeCell="C11" sqref="A1:C11"/>
    </sheetView>
  </sheetViews>
  <sheetFormatPr baseColWidth="10" defaultRowHeight="14"/>
  <sheetData>
    <row r="1" spans="1:3">
      <c r="A1" t="s">
        <v>29</v>
      </c>
    </row>
    <row r="2" spans="1:3">
      <c r="B2" t="s">
        <v>60</v>
      </c>
      <c r="C2">
        <v>40</v>
      </c>
    </row>
    <row r="3" spans="1:3">
      <c r="A3" t="s">
        <v>51</v>
      </c>
      <c r="B3">
        <v>5</v>
      </c>
      <c r="C3">
        <f>B3*C2</f>
        <v>200</v>
      </c>
    </row>
    <row r="4" spans="1:3">
      <c r="A4" t="s">
        <v>52</v>
      </c>
      <c r="B4">
        <v>2</v>
      </c>
      <c r="C4">
        <f>B4*C2</f>
        <v>80</v>
      </c>
    </row>
    <row r="5" spans="1:3">
      <c r="A5" t="s">
        <v>53</v>
      </c>
      <c r="B5">
        <v>0.5</v>
      </c>
      <c r="C5">
        <f>B5*C2</f>
        <v>20</v>
      </c>
    </row>
    <row r="6" spans="1:3">
      <c r="A6" t="s">
        <v>55</v>
      </c>
      <c r="B6">
        <v>2</v>
      </c>
      <c r="C6">
        <f>B6*C2</f>
        <v>80</v>
      </c>
    </row>
    <row r="7" spans="1:3">
      <c r="A7" t="s">
        <v>56</v>
      </c>
      <c r="B7">
        <v>2</v>
      </c>
      <c r="C7">
        <f>B7*C2</f>
        <v>80</v>
      </c>
    </row>
    <row r="8" spans="1:3">
      <c r="A8" t="s">
        <v>57</v>
      </c>
      <c r="B8">
        <v>0.3</v>
      </c>
      <c r="C8">
        <f>B8*C2</f>
        <v>12</v>
      </c>
    </row>
    <row r="9" spans="1:3">
      <c r="A9" t="s">
        <v>58</v>
      </c>
      <c r="B9">
        <v>11.95</v>
      </c>
      <c r="C9">
        <f>B9*C2</f>
        <v>478</v>
      </c>
    </row>
    <row r="10" spans="1:3">
      <c r="A10" t="s">
        <v>59</v>
      </c>
      <c r="B10">
        <v>1.25</v>
      </c>
      <c r="C10">
        <f>B10*C2</f>
        <v>50</v>
      </c>
    </row>
    <row r="11" spans="1:3">
      <c r="A11" t="s">
        <v>61</v>
      </c>
      <c r="B11">
        <f>SUM(B3:B10)</f>
        <v>25</v>
      </c>
      <c r="C11">
        <f>SUM(C3:C10)</f>
        <v>1000</v>
      </c>
    </row>
  </sheetData>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41"/>
  <sheetViews>
    <sheetView tabSelected="1" topLeftCell="A16" workbookViewId="0">
      <selection activeCell="C78" sqref="C78"/>
    </sheetView>
  </sheetViews>
  <sheetFormatPr baseColWidth="10" defaultColWidth="8.83203125" defaultRowHeight="14"/>
  <cols>
    <col min="1" max="1" width="12.83203125" customWidth="1"/>
    <col min="10" max="10" width="34.83203125" customWidth="1"/>
    <col min="11" max="11" width="39.1640625" customWidth="1"/>
    <col min="12" max="12" width="18.83203125" customWidth="1"/>
  </cols>
  <sheetData>
    <row r="1" spans="1:12">
      <c r="A1" t="s">
        <v>48</v>
      </c>
      <c r="H1" t="s">
        <v>80</v>
      </c>
      <c r="I1" t="s">
        <v>81</v>
      </c>
      <c r="J1" t="s">
        <v>82</v>
      </c>
      <c r="K1" t="s">
        <v>83</v>
      </c>
      <c r="L1" t="s">
        <v>84</v>
      </c>
    </row>
    <row r="2" spans="1:12">
      <c r="B2" t="s">
        <v>60</v>
      </c>
      <c r="C2">
        <v>20</v>
      </c>
      <c r="H2" t="s">
        <v>94</v>
      </c>
      <c r="I2" t="s">
        <v>219</v>
      </c>
      <c r="J2" s="1" t="s">
        <v>109</v>
      </c>
      <c r="K2" s="1" t="s">
        <v>202</v>
      </c>
      <c r="L2" t="s">
        <v>117</v>
      </c>
    </row>
    <row r="3" spans="1:12">
      <c r="A3" t="s">
        <v>206</v>
      </c>
      <c r="B3">
        <v>4</v>
      </c>
      <c r="C3">
        <f>B3*C2</f>
        <v>80</v>
      </c>
      <c r="J3" t="s">
        <v>87</v>
      </c>
      <c r="K3" t="s">
        <v>203</v>
      </c>
    </row>
    <row r="4" spans="1:12">
      <c r="A4" t="s">
        <v>52</v>
      </c>
      <c r="B4">
        <v>0.6</v>
      </c>
      <c r="C4">
        <f>B4*C2</f>
        <v>12</v>
      </c>
      <c r="J4" t="s">
        <v>111</v>
      </c>
    </row>
    <row r="5" spans="1:12">
      <c r="A5" t="s">
        <v>53</v>
      </c>
      <c r="B5">
        <v>0.2</v>
      </c>
      <c r="C5">
        <f>B5*C2</f>
        <v>4</v>
      </c>
      <c r="J5" t="s">
        <v>89</v>
      </c>
    </row>
    <row r="6" spans="1:12">
      <c r="A6" t="s">
        <v>55</v>
      </c>
      <c r="B6">
        <v>0.4</v>
      </c>
      <c r="C6">
        <f>B6*C2</f>
        <v>8</v>
      </c>
      <c r="J6" t="s">
        <v>90</v>
      </c>
    </row>
    <row r="7" spans="1:12">
      <c r="A7" t="s">
        <v>56</v>
      </c>
      <c r="B7">
        <v>0.4</v>
      </c>
      <c r="C7">
        <f>B7*C2</f>
        <v>8</v>
      </c>
      <c r="J7" t="s">
        <v>107</v>
      </c>
    </row>
    <row r="8" spans="1:12">
      <c r="A8" t="s">
        <v>57</v>
      </c>
      <c r="B8">
        <v>0.2</v>
      </c>
      <c r="C8">
        <f>B8*C2</f>
        <v>4</v>
      </c>
    </row>
    <row r="9" spans="1:12">
      <c r="A9" t="s">
        <v>58</v>
      </c>
      <c r="B9">
        <v>15.2</v>
      </c>
      <c r="C9">
        <f>B9*C2</f>
        <v>304</v>
      </c>
    </row>
    <row r="10" spans="1:12">
      <c r="A10" t="s">
        <v>59</v>
      </c>
      <c r="B10">
        <v>1</v>
      </c>
      <c r="C10">
        <f>B10*C2</f>
        <v>20</v>
      </c>
    </row>
    <row r="11" spans="1:12">
      <c r="A11" t="s">
        <v>61</v>
      </c>
      <c r="B11">
        <v>20</v>
      </c>
      <c r="C11">
        <f>B11*C2</f>
        <v>400</v>
      </c>
    </row>
    <row r="15" spans="1:12">
      <c r="A15" t="s">
        <v>49</v>
      </c>
    </row>
    <row r="16" spans="1:12">
      <c r="B16" t="s">
        <v>60</v>
      </c>
      <c r="C16">
        <v>20</v>
      </c>
      <c r="H16" t="s">
        <v>80</v>
      </c>
      <c r="I16" t="s">
        <v>81</v>
      </c>
      <c r="J16" t="s">
        <v>82</v>
      </c>
      <c r="K16" t="s">
        <v>83</v>
      </c>
      <c r="L16" t="s">
        <v>84</v>
      </c>
    </row>
    <row r="17" spans="1:12">
      <c r="A17" t="s">
        <v>206</v>
      </c>
      <c r="B17">
        <v>4</v>
      </c>
      <c r="C17">
        <f>B17*C16</f>
        <v>80</v>
      </c>
      <c r="H17" t="s">
        <v>94</v>
      </c>
      <c r="I17" t="s">
        <v>219</v>
      </c>
      <c r="J17" s="1" t="s">
        <v>109</v>
      </c>
      <c r="K17" s="1" t="s">
        <v>204</v>
      </c>
      <c r="L17" t="s">
        <v>209</v>
      </c>
    </row>
    <row r="18" spans="1:12">
      <c r="A18" t="s">
        <v>52</v>
      </c>
      <c r="B18">
        <v>0.6</v>
      </c>
      <c r="C18">
        <f>B18*C16</f>
        <v>12</v>
      </c>
      <c r="J18" t="s">
        <v>87</v>
      </c>
      <c r="K18" t="s">
        <v>205</v>
      </c>
    </row>
    <row r="19" spans="1:12">
      <c r="A19" t="s">
        <v>53</v>
      </c>
      <c r="B19">
        <v>0.2</v>
      </c>
      <c r="C19">
        <f>B19*C16</f>
        <v>4</v>
      </c>
      <c r="J19" t="s">
        <v>111</v>
      </c>
    </row>
    <row r="20" spans="1:12">
      <c r="A20" t="s">
        <v>55</v>
      </c>
      <c r="B20">
        <v>0.4</v>
      </c>
      <c r="C20">
        <f>B20*C16</f>
        <v>8</v>
      </c>
      <c r="J20" t="s">
        <v>89</v>
      </c>
    </row>
    <row r="21" spans="1:12">
      <c r="A21" t="s">
        <v>56</v>
      </c>
      <c r="B21">
        <v>0.4</v>
      </c>
      <c r="C21">
        <f>B21*C16</f>
        <v>8</v>
      </c>
      <c r="J21" t="s">
        <v>90</v>
      </c>
    </row>
    <row r="22" spans="1:12">
      <c r="A22" t="s">
        <v>57</v>
      </c>
      <c r="B22">
        <v>0.2</v>
      </c>
      <c r="C22">
        <f>B22*C16</f>
        <v>4</v>
      </c>
      <c r="J22" t="s">
        <v>107</v>
      </c>
    </row>
    <row r="23" spans="1:12">
      <c r="A23" t="s">
        <v>58</v>
      </c>
      <c r="B23">
        <v>15.2</v>
      </c>
      <c r="C23">
        <f>B23*C16</f>
        <v>304</v>
      </c>
    </row>
    <row r="24" spans="1:12">
      <c r="A24" t="s">
        <v>59</v>
      </c>
      <c r="B24">
        <v>1</v>
      </c>
      <c r="C24">
        <f>B24*C16</f>
        <v>20</v>
      </c>
    </row>
    <row r="25" spans="1:12">
      <c r="A25" t="s">
        <v>61</v>
      </c>
      <c r="B25">
        <v>20</v>
      </c>
      <c r="C25">
        <f>B25*C16</f>
        <v>400</v>
      </c>
    </row>
    <row r="26" spans="1:12">
      <c r="B26">
        <v>25</v>
      </c>
      <c r="C26">
        <f>B26*C16</f>
        <v>500</v>
      </c>
    </row>
    <row r="29" spans="1:12">
      <c r="A29" t="s">
        <v>45</v>
      </c>
    </row>
    <row r="30" spans="1:12">
      <c r="B30" t="s">
        <v>60</v>
      </c>
      <c r="C30">
        <v>20</v>
      </c>
      <c r="H30" t="s">
        <v>80</v>
      </c>
      <c r="I30" t="s">
        <v>81</v>
      </c>
      <c r="J30" t="s">
        <v>82</v>
      </c>
      <c r="K30" t="s">
        <v>83</v>
      </c>
      <c r="L30" t="s">
        <v>84</v>
      </c>
    </row>
    <row r="31" spans="1:12">
      <c r="A31" t="s">
        <v>206</v>
      </c>
      <c r="B31">
        <v>2</v>
      </c>
      <c r="C31">
        <f>B31*C30</f>
        <v>40</v>
      </c>
      <c r="H31" t="s">
        <v>94</v>
      </c>
      <c r="I31" t="s">
        <v>45</v>
      </c>
      <c r="J31" s="1" t="s">
        <v>109</v>
      </c>
      <c r="K31" s="1" t="s">
        <v>220</v>
      </c>
      <c r="L31" t="s">
        <v>210</v>
      </c>
    </row>
    <row r="32" spans="1:12">
      <c r="A32" t="s">
        <v>52</v>
      </c>
      <c r="B32">
        <v>2</v>
      </c>
      <c r="C32">
        <f>B32*C30</f>
        <v>40</v>
      </c>
      <c r="J32" t="s">
        <v>87</v>
      </c>
      <c r="K32" t="s">
        <v>47</v>
      </c>
    </row>
    <row r="33" spans="1:10">
      <c r="A33" t="s">
        <v>53</v>
      </c>
      <c r="B33">
        <v>0.2</v>
      </c>
      <c r="C33">
        <f>B33*C30</f>
        <v>4</v>
      </c>
      <c r="J33" t="s">
        <v>50</v>
      </c>
    </row>
    <row r="34" spans="1:10">
      <c r="A34" t="s">
        <v>55</v>
      </c>
      <c r="B34">
        <v>0.4</v>
      </c>
      <c r="C34">
        <f>B34*C30</f>
        <v>8</v>
      </c>
      <c r="J34" t="s">
        <v>106</v>
      </c>
    </row>
    <row r="35" spans="1:10">
      <c r="A35" t="s">
        <v>56</v>
      </c>
      <c r="B35">
        <v>0.4</v>
      </c>
      <c r="C35">
        <f>B35*C30</f>
        <v>8</v>
      </c>
      <c r="J35" t="s">
        <v>90</v>
      </c>
    </row>
    <row r="36" spans="1:10">
      <c r="A36" t="s">
        <v>207</v>
      </c>
      <c r="B36">
        <v>0.2</v>
      </c>
      <c r="C36">
        <f>B36*C30</f>
        <v>4</v>
      </c>
      <c r="J36" t="s">
        <v>107</v>
      </c>
    </row>
    <row r="37" spans="1:10">
      <c r="A37" t="s">
        <v>58</v>
      </c>
      <c r="B37">
        <v>13.8</v>
      </c>
      <c r="C37">
        <f>B37*C30</f>
        <v>276</v>
      </c>
    </row>
    <row r="38" spans="1:10">
      <c r="A38" t="s">
        <v>59</v>
      </c>
      <c r="B38">
        <v>1</v>
      </c>
      <c r="C38">
        <f>B38*C30</f>
        <v>20</v>
      </c>
    </row>
    <row r="39" spans="1:10">
      <c r="A39" t="s">
        <v>61</v>
      </c>
      <c r="B39">
        <v>20</v>
      </c>
      <c r="C39">
        <f>B39*C30</f>
        <v>400</v>
      </c>
    </row>
    <row r="41" spans="1:10">
      <c r="A41" t="s">
        <v>208</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68"/>
  <sheetViews>
    <sheetView topLeftCell="A27" workbookViewId="0">
      <selection activeCell="I44" sqref="I44:I45"/>
    </sheetView>
  </sheetViews>
  <sheetFormatPr baseColWidth="10" defaultColWidth="8.83203125" defaultRowHeight="14"/>
  <cols>
    <col min="1" max="1" width="12.33203125" customWidth="1"/>
    <col min="10" max="10" width="34.83203125" customWidth="1"/>
    <col min="11" max="11" width="39.1640625" customWidth="1"/>
    <col min="12" max="12" width="18.83203125" customWidth="1"/>
  </cols>
  <sheetData>
    <row r="1" spans="1:12">
      <c r="A1" t="s">
        <v>48</v>
      </c>
      <c r="H1" t="s">
        <v>80</v>
      </c>
      <c r="I1" t="s">
        <v>81</v>
      </c>
      <c r="J1" t="s">
        <v>82</v>
      </c>
      <c r="K1" t="s">
        <v>83</v>
      </c>
      <c r="L1" t="s">
        <v>84</v>
      </c>
    </row>
    <row r="2" spans="1:12">
      <c r="B2" t="s">
        <v>60</v>
      </c>
      <c r="C2">
        <v>20</v>
      </c>
      <c r="H2" t="s">
        <v>94</v>
      </c>
      <c r="I2" t="s">
        <v>219</v>
      </c>
      <c r="J2" s="1" t="s">
        <v>109</v>
      </c>
      <c r="K2" s="1" t="s">
        <v>202</v>
      </c>
      <c r="L2" t="s">
        <v>117</v>
      </c>
    </row>
    <row r="3" spans="1:12">
      <c r="A3" t="s">
        <v>206</v>
      </c>
      <c r="B3">
        <v>2</v>
      </c>
      <c r="C3">
        <f>B3*C2</f>
        <v>40</v>
      </c>
      <c r="J3" t="s">
        <v>87</v>
      </c>
      <c r="K3" t="s">
        <v>203</v>
      </c>
    </row>
    <row r="4" spans="1:12">
      <c r="A4" t="s">
        <v>52</v>
      </c>
      <c r="B4">
        <v>0.6</v>
      </c>
      <c r="C4">
        <f>B4*C2</f>
        <v>12</v>
      </c>
      <c r="J4" t="s">
        <v>111</v>
      </c>
    </row>
    <row r="5" spans="1:12">
      <c r="A5" t="s">
        <v>53</v>
      </c>
      <c r="B5">
        <v>0.2</v>
      </c>
      <c r="C5">
        <f>B5*C2</f>
        <v>4</v>
      </c>
      <c r="J5" t="s">
        <v>89</v>
      </c>
    </row>
    <row r="6" spans="1:12">
      <c r="A6" t="s">
        <v>55</v>
      </c>
      <c r="B6">
        <v>0.4</v>
      </c>
      <c r="C6">
        <f>B6*C2</f>
        <v>8</v>
      </c>
      <c r="J6" t="s">
        <v>90</v>
      </c>
    </row>
    <row r="7" spans="1:12">
      <c r="A7" t="s">
        <v>56</v>
      </c>
      <c r="B7">
        <v>0.4</v>
      </c>
      <c r="C7">
        <f>B7*C2</f>
        <v>8</v>
      </c>
      <c r="J7" t="s">
        <v>107</v>
      </c>
    </row>
    <row r="8" spans="1:12">
      <c r="A8" t="s">
        <v>57</v>
      </c>
      <c r="B8">
        <v>0.2</v>
      </c>
      <c r="C8">
        <f>B8*C2</f>
        <v>4</v>
      </c>
    </row>
    <row r="9" spans="1:12">
      <c r="A9" t="s">
        <v>58</v>
      </c>
      <c r="B9">
        <v>15.2</v>
      </c>
      <c r="C9">
        <f>B9*C2</f>
        <v>304</v>
      </c>
    </row>
    <row r="10" spans="1:12">
      <c r="A10" t="s">
        <v>59</v>
      </c>
      <c r="B10">
        <v>1</v>
      </c>
      <c r="C10">
        <f>B10*C2</f>
        <v>20</v>
      </c>
    </row>
    <row r="11" spans="1:12">
      <c r="A11" t="s">
        <v>61</v>
      </c>
      <c r="B11">
        <v>20</v>
      </c>
      <c r="C11">
        <f>B11*C2</f>
        <v>400</v>
      </c>
    </row>
    <row r="15" spans="1:12">
      <c r="A15" t="s">
        <v>49</v>
      </c>
    </row>
    <row r="16" spans="1:12">
      <c r="B16" t="s">
        <v>60</v>
      </c>
      <c r="C16">
        <v>20</v>
      </c>
      <c r="H16" t="s">
        <v>80</v>
      </c>
      <c r="I16" t="s">
        <v>81</v>
      </c>
      <c r="J16" t="s">
        <v>82</v>
      </c>
      <c r="K16" t="s">
        <v>83</v>
      </c>
      <c r="L16" t="s">
        <v>84</v>
      </c>
    </row>
    <row r="17" spans="1:12">
      <c r="A17" t="s">
        <v>206</v>
      </c>
      <c r="B17">
        <v>2</v>
      </c>
      <c r="C17">
        <f>B17*C16</f>
        <v>40</v>
      </c>
      <c r="H17" t="s">
        <v>94</v>
      </c>
      <c r="I17" t="s">
        <v>219</v>
      </c>
      <c r="J17" s="1" t="s">
        <v>109</v>
      </c>
      <c r="K17" s="1" t="s">
        <v>204</v>
      </c>
      <c r="L17" t="s">
        <v>209</v>
      </c>
    </row>
    <row r="18" spans="1:12">
      <c r="A18" t="s">
        <v>52</v>
      </c>
      <c r="B18">
        <v>0.6</v>
      </c>
      <c r="C18">
        <f>B18*C16</f>
        <v>12</v>
      </c>
      <c r="J18" t="s">
        <v>87</v>
      </c>
      <c r="K18" t="s">
        <v>205</v>
      </c>
    </row>
    <row r="19" spans="1:12">
      <c r="A19" t="s">
        <v>53</v>
      </c>
      <c r="B19">
        <v>0.2</v>
      </c>
      <c r="C19">
        <f>B19*C16</f>
        <v>4</v>
      </c>
      <c r="J19" t="s">
        <v>111</v>
      </c>
    </row>
    <row r="20" spans="1:12">
      <c r="A20" t="s">
        <v>55</v>
      </c>
      <c r="B20">
        <v>0.4</v>
      </c>
      <c r="C20">
        <f>B20*C16</f>
        <v>8</v>
      </c>
      <c r="J20" t="s">
        <v>89</v>
      </c>
    </row>
    <row r="21" spans="1:12">
      <c r="A21" t="s">
        <v>56</v>
      </c>
      <c r="B21">
        <v>0.4</v>
      </c>
      <c r="C21">
        <f>B21*C16</f>
        <v>8</v>
      </c>
      <c r="J21" t="s">
        <v>90</v>
      </c>
    </row>
    <row r="22" spans="1:12">
      <c r="A22" t="s">
        <v>57</v>
      </c>
      <c r="B22">
        <v>0.2</v>
      </c>
      <c r="C22">
        <f>B22*C16</f>
        <v>4</v>
      </c>
      <c r="J22" t="s">
        <v>107</v>
      </c>
    </row>
    <row r="23" spans="1:12">
      <c r="A23" t="s">
        <v>58</v>
      </c>
      <c r="B23">
        <v>15.2</v>
      </c>
      <c r="C23">
        <f>B23*C16</f>
        <v>304</v>
      </c>
    </row>
    <row r="24" spans="1:12">
      <c r="A24" t="s">
        <v>59</v>
      </c>
      <c r="B24">
        <v>1</v>
      </c>
      <c r="C24">
        <f>B24*C16</f>
        <v>20</v>
      </c>
    </row>
    <row r="25" spans="1:12">
      <c r="A25" t="s">
        <v>61</v>
      </c>
      <c r="B25">
        <v>20</v>
      </c>
      <c r="C25">
        <f>B25*C16</f>
        <v>400</v>
      </c>
    </row>
    <row r="26" spans="1:12">
      <c r="B26">
        <v>25</v>
      </c>
      <c r="C26">
        <f>B26*C16</f>
        <v>500</v>
      </c>
    </row>
    <row r="29" spans="1:12">
      <c r="A29" t="s">
        <v>45</v>
      </c>
    </row>
    <row r="30" spans="1:12">
      <c r="B30" t="s">
        <v>60</v>
      </c>
      <c r="C30">
        <v>20</v>
      </c>
      <c r="H30" t="s">
        <v>80</v>
      </c>
      <c r="I30" t="s">
        <v>81</v>
      </c>
      <c r="J30" t="s">
        <v>82</v>
      </c>
      <c r="K30" t="s">
        <v>83</v>
      </c>
      <c r="L30" t="s">
        <v>84</v>
      </c>
    </row>
    <row r="31" spans="1:12">
      <c r="A31" t="s">
        <v>206</v>
      </c>
      <c r="B31">
        <v>2</v>
      </c>
      <c r="C31">
        <f>B31*C30</f>
        <v>40</v>
      </c>
      <c r="H31" t="s">
        <v>94</v>
      </c>
      <c r="I31" t="s">
        <v>45</v>
      </c>
      <c r="J31" s="1" t="s">
        <v>109</v>
      </c>
      <c r="K31" s="1" t="s">
        <v>220</v>
      </c>
      <c r="L31" t="s">
        <v>210</v>
      </c>
    </row>
    <row r="32" spans="1:12">
      <c r="A32" t="s">
        <v>52</v>
      </c>
      <c r="B32">
        <v>2</v>
      </c>
      <c r="C32">
        <f>B32*C30</f>
        <v>40</v>
      </c>
      <c r="J32" t="s">
        <v>87</v>
      </c>
      <c r="K32" t="s">
        <v>47</v>
      </c>
    </row>
    <row r="33" spans="1:12">
      <c r="A33" t="s">
        <v>53</v>
      </c>
      <c r="B33">
        <v>0.2</v>
      </c>
      <c r="C33">
        <f>B33*C30</f>
        <v>4</v>
      </c>
      <c r="J33" t="s">
        <v>50</v>
      </c>
    </row>
    <row r="34" spans="1:12">
      <c r="A34" t="s">
        <v>55</v>
      </c>
      <c r="B34">
        <v>0.4</v>
      </c>
      <c r="C34">
        <f>B34*C30</f>
        <v>8</v>
      </c>
      <c r="J34" t="s">
        <v>106</v>
      </c>
    </row>
    <row r="35" spans="1:12">
      <c r="A35" t="s">
        <v>56</v>
      </c>
      <c r="B35">
        <v>0.4</v>
      </c>
      <c r="C35">
        <f>B35*C30</f>
        <v>8</v>
      </c>
      <c r="J35" t="s">
        <v>90</v>
      </c>
    </row>
    <row r="36" spans="1:12">
      <c r="A36" t="s">
        <v>207</v>
      </c>
      <c r="B36">
        <v>0.2</v>
      </c>
      <c r="C36">
        <f>B36*C30</f>
        <v>4</v>
      </c>
      <c r="J36" t="s">
        <v>107</v>
      </c>
    </row>
    <row r="37" spans="1:12">
      <c r="A37" t="s">
        <v>58</v>
      </c>
      <c r="B37">
        <v>13.8</v>
      </c>
      <c r="C37">
        <f>B37*C30</f>
        <v>276</v>
      </c>
    </row>
    <row r="38" spans="1:12">
      <c r="A38" t="s">
        <v>59</v>
      </c>
      <c r="B38">
        <v>1</v>
      </c>
      <c r="C38">
        <f>B38*C30</f>
        <v>20</v>
      </c>
    </row>
    <row r="39" spans="1:12">
      <c r="A39" t="s">
        <v>61</v>
      </c>
      <c r="B39">
        <v>20</v>
      </c>
      <c r="C39">
        <f>B39*C30</f>
        <v>400</v>
      </c>
    </row>
    <row r="41" spans="1:12">
      <c r="A41" t="s">
        <v>208</v>
      </c>
    </row>
    <row r="43" spans="1:12">
      <c r="A43" t="s">
        <v>211</v>
      </c>
    </row>
    <row r="44" spans="1:12">
      <c r="B44" t="s">
        <v>60</v>
      </c>
      <c r="C44">
        <v>20</v>
      </c>
      <c r="H44" t="s">
        <v>80</v>
      </c>
      <c r="I44" t="s">
        <v>81</v>
      </c>
      <c r="J44" t="s">
        <v>82</v>
      </c>
      <c r="K44" t="s">
        <v>83</v>
      </c>
      <c r="L44" t="s">
        <v>84</v>
      </c>
    </row>
    <row r="45" spans="1:12">
      <c r="A45" t="s">
        <v>206</v>
      </c>
      <c r="B45">
        <v>2</v>
      </c>
      <c r="C45">
        <f>B45*C44</f>
        <v>40</v>
      </c>
      <c r="H45" t="s">
        <v>94</v>
      </c>
      <c r="I45" t="s">
        <v>219</v>
      </c>
      <c r="J45" s="1" t="s">
        <v>109</v>
      </c>
      <c r="K45" s="1" t="s">
        <v>215</v>
      </c>
      <c r="L45" t="s">
        <v>214</v>
      </c>
    </row>
    <row r="46" spans="1:12">
      <c r="A46" t="s">
        <v>52</v>
      </c>
      <c r="B46">
        <v>0.6</v>
      </c>
      <c r="C46">
        <f>B46*C44</f>
        <v>12</v>
      </c>
      <c r="J46" t="s">
        <v>87</v>
      </c>
      <c r="K46" t="s">
        <v>216</v>
      </c>
    </row>
    <row r="47" spans="1:12">
      <c r="A47" t="s">
        <v>53</v>
      </c>
      <c r="B47">
        <v>0.2</v>
      </c>
      <c r="C47">
        <f>B47*C44</f>
        <v>4</v>
      </c>
      <c r="J47" t="s">
        <v>111</v>
      </c>
    </row>
    <row r="48" spans="1:12">
      <c r="A48" t="s">
        <v>55</v>
      </c>
      <c r="B48">
        <v>0.4</v>
      </c>
      <c r="C48">
        <f>B48*C44</f>
        <v>8</v>
      </c>
      <c r="J48" t="s">
        <v>89</v>
      </c>
    </row>
    <row r="49" spans="1:12">
      <c r="A49" t="s">
        <v>56</v>
      </c>
      <c r="B49">
        <v>0.4</v>
      </c>
      <c r="C49">
        <f>B49*C44</f>
        <v>8</v>
      </c>
      <c r="J49" t="s">
        <v>90</v>
      </c>
    </row>
    <row r="50" spans="1:12">
      <c r="A50" t="s">
        <v>57</v>
      </c>
      <c r="B50">
        <v>0.2</v>
      </c>
      <c r="C50">
        <f>B50*C44</f>
        <v>4</v>
      </c>
      <c r="J50" t="s">
        <v>107</v>
      </c>
    </row>
    <row r="51" spans="1:12">
      <c r="A51" t="s">
        <v>58</v>
      </c>
      <c r="B51">
        <v>15.2</v>
      </c>
      <c r="C51">
        <f>B51*C44</f>
        <v>304</v>
      </c>
    </row>
    <row r="52" spans="1:12">
      <c r="A52" t="s">
        <v>59</v>
      </c>
      <c r="B52">
        <v>1</v>
      </c>
      <c r="C52">
        <f>B52*C44</f>
        <v>20</v>
      </c>
    </row>
    <row r="53" spans="1:12">
      <c r="A53" t="s">
        <v>61</v>
      </c>
      <c r="B53">
        <v>20</v>
      </c>
      <c r="C53">
        <f>B53*C44</f>
        <v>400</v>
      </c>
    </row>
    <row r="54" spans="1:12">
      <c r="B54">
        <v>25</v>
      </c>
      <c r="C54">
        <f>B54*C44</f>
        <v>500</v>
      </c>
    </row>
    <row r="57" spans="1:12">
      <c r="A57" t="s">
        <v>212</v>
      </c>
    </row>
    <row r="58" spans="1:12">
      <c r="B58" t="s">
        <v>60</v>
      </c>
      <c r="C58">
        <v>20</v>
      </c>
      <c r="H58" t="s">
        <v>80</v>
      </c>
      <c r="I58" t="s">
        <v>81</v>
      </c>
      <c r="J58" t="s">
        <v>82</v>
      </c>
      <c r="K58" t="s">
        <v>83</v>
      </c>
      <c r="L58" t="s">
        <v>84</v>
      </c>
    </row>
    <row r="59" spans="1:12">
      <c r="A59" t="s">
        <v>206</v>
      </c>
      <c r="B59">
        <v>2</v>
      </c>
      <c r="C59">
        <f>B59*C58</f>
        <v>40</v>
      </c>
      <c r="H59" t="s">
        <v>94</v>
      </c>
      <c r="I59" t="s">
        <v>219</v>
      </c>
      <c r="J59" s="1" t="s">
        <v>109</v>
      </c>
      <c r="K59" s="1" t="s">
        <v>217</v>
      </c>
      <c r="L59" t="s">
        <v>213</v>
      </c>
    </row>
    <row r="60" spans="1:12">
      <c r="A60" t="s">
        <v>52</v>
      </c>
      <c r="B60">
        <v>0.6</v>
      </c>
      <c r="C60">
        <f>B60*C58</f>
        <v>12</v>
      </c>
      <c r="J60" t="s">
        <v>87</v>
      </c>
      <c r="K60" t="s">
        <v>218</v>
      </c>
    </row>
    <row r="61" spans="1:12">
      <c r="A61" t="s">
        <v>53</v>
      </c>
      <c r="B61">
        <v>0.2</v>
      </c>
      <c r="C61">
        <f>B61*C58</f>
        <v>4</v>
      </c>
      <c r="J61" t="s">
        <v>111</v>
      </c>
    </row>
    <row r="62" spans="1:12">
      <c r="A62" t="s">
        <v>55</v>
      </c>
      <c r="B62">
        <v>0.4</v>
      </c>
      <c r="C62">
        <f>B62*C58</f>
        <v>8</v>
      </c>
      <c r="J62" t="s">
        <v>89</v>
      </c>
    </row>
    <row r="63" spans="1:12">
      <c r="A63" t="s">
        <v>56</v>
      </c>
      <c r="B63">
        <v>0.4</v>
      </c>
      <c r="C63">
        <f>B63*C58</f>
        <v>8</v>
      </c>
      <c r="J63" t="s">
        <v>90</v>
      </c>
    </row>
    <row r="64" spans="1:12">
      <c r="A64" t="s">
        <v>57</v>
      </c>
      <c r="B64">
        <v>0.2</v>
      </c>
      <c r="C64">
        <f>B64*C58</f>
        <v>4</v>
      </c>
      <c r="J64" t="s">
        <v>107</v>
      </c>
    </row>
    <row r="65" spans="1:3">
      <c r="A65" t="s">
        <v>58</v>
      </c>
      <c r="B65">
        <v>15.2</v>
      </c>
      <c r="C65">
        <f>B65*C58</f>
        <v>304</v>
      </c>
    </row>
    <row r="66" spans="1:3">
      <c r="A66" t="s">
        <v>59</v>
      </c>
      <c r="B66">
        <v>1</v>
      </c>
      <c r="C66">
        <f>B66*C58</f>
        <v>20</v>
      </c>
    </row>
    <row r="67" spans="1:3">
      <c r="A67" t="s">
        <v>61</v>
      </c>
      <c r="B67">
        <v>20</v>
      </c>
      <c r="C67">
        <f>B67*C58</f>
        <v>400</v>
      </c>
    </row>
    <row r="68" spans="1:3">
      <c r="B68">
        <v>25</v>
      </c>
      <c r="C68">
        <f>B68*C58</f>
        <v>500</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L55"/>
  <sheetViews>
    <sheetView topLeftCell="A37" workbookViewId="0">
      <selection activeCell="J42" sqref="J42:J52"/>
    </sheetView>
  </sheetViews>
  <sheetFormatPr baseColWidth="10" defaultColWidth="8.83203125" defaultRowHeight="14"/>
  <cols>
    <col min="9" max="9" width="9.1640625" customWidth="1"/>
    <col min="10" max="10" width="38.5" customWidth="1"/>
    <col min="11" max="11" width="39.1640625" customWidth="1"/>
    <col min="12" max="12" width="18.83203125" customWidth="1"/>
  </cols>
  <sheetData>
    <row r="1" spans="1:12">
      <c r="A1" t="s">
        <v>221</v>
      </c>
      <c r="H1" t="s">
        <v>80</v>
      </c>
      <c r="I1" t="s">
        <v>81</v>
      </c>
      <c r="J1" t="s">
        <v>82</v>
      </c>
      <c r="K1" t="s">
        <v>83</v>
      </c>
      <c r="L1" t="s">
        <v>84</v>
      </c>
    </row>
    <row r="2" spans="1:12">
      <c r="B2" t="s">
        <v>60</v>
      </c>
      <c r="C2">
        <v>20</v>
      </c>
      <c r="H2" t="s">
        <v>94</v>
      </c>
      <c r="I2" t="s">
        <v>46</v>
      </c>
      <c r="J2" s="1" t="s">
        <v>109</v>
      </c>
      <c r="K2" s="1" t="s">
        <v>222</v>
      </c>
      <c r="L2" t="s">
        <v>224</v>
      </c>
    </row>
    <row r="3" spans="1:12">
      <c r="A3" t="s">
        <v>51</v>
      </c>
      <c r="B3">
        <v>5</v>
      </c>
      <c r="C3">
        <f>B3*C2</f>
        <v>100</v>
      </c>
      <c r="J3" t="s">
        <v>6</v>
      </c>
      <c r="K3" t="s">
        <v>223</v>
      </c>
    </row>
    <row r="4" spans="1:12">
      <c r="A4" t="s">
        <v>52</v>
      </c>
      <c r="B4">
        <v>1.7</v>
      </c>
      <c r="C4">
        <f>B4*C2</f>
        <v>34</v>
      </c>
      <c r="J4" t="s">
        <v>146</v>
      </c>
    </row>
    <row r="5" spans="1:12">
      <c r="A5" t="s">
        <v>53</v>
      </c>
      <c r="B5">
        <v>0.5</v>
      </c>
      <c r="C5">
        <f>B5*C2</f>
        <v>10</v>
      </c>
      <c r="J5" t="s">
        <v>235</v>
      </c>
    </row>
    <row r="6" spans="1:12">
      <c r="A6" t="s">
        <v>55</v>
      </c>
      <c r="B6">
        <v>0.5</v>
      </c>
      <c r="C6">
        <f>B6*C2</f>
        <v>10</v>
      </c>
      <c r="J6" t="s">
        <v>236</v>
      </c>
    </row>
    <row r="7" spans="1:12">
      <c r="A7" t="s">
        <v>56</v>
      </c>
      <c r="B7">
        <v>0.5</v>
      </c>
      <c r="C7">
        <f>B7*C2</f>
        <v>10</v>
      </c>
      <c r="J7" t="s">
        <v>237</v>
      </c>
    </row>
    <row r="8" spans="1:12">
      <c r="A8" t="s">
        <v>57</v>
      </c>
      <c r="B8">
        <v>0.25</v>
      </c>
      <c r="C8">
        <f>B8*C2</f>
        <v>5</v>
      </c>
      <c r="J8" t="s">
        <v>238</v>
      </c>
    </row>
    <row r="9" spans="1:12">
      <c r="A9" t="s">
        <v>58</v>
      </c>
      <c r="B9">
        <v>15.6</v>
      </c>
      <c r="C9">
        <f>B9*C2</f>
        <v>312</v>
      </c>
      <c r="J9" t="s">
        <v>239</v>
      </c>
    </row>
    <row r="10" spans="1:12">
      <c r="A10" t="s">
        <v>59</v>
      </c>
      <c r="B10">
        <v>1</v>
      </c>
      <c r="C10">
        <f>B10*C2</f>
        <v>20</v>
      </c>
      <c r="J10" t="s">
        <v>240</v>
      </c>
    </row>
    <row r="11" spans="1:12">
      <c r="A11" t="s">
        <v>61</v>
      </c>
      <c r="B11">
        <v>25</v>
      </c>
      <c r="C11">
        <f>B11*C2</f>
        <v>500</v>
      </c>
      <c r="J11" t="s">
        <v>112</v>
      </c>
    </row>
    <row r="14" spans="1:12">
      <c r="A14" t="s">
        <v>225</v>
      </c>
    </row>
    <row r="15" spans="1:12">
      <c r="B15" t="s">
        <v>60</v>
      </c>
      <c r="C15">
        <v>20</v>
      </c>
      <c r="H15" t="s">
        <v>80</v>
      </c>
      <c r="I15" t="s">
        <v>81</v>
      </c>
      <c r="J15" t="s">
        <v>82</v>
      </c>
      <c r="K15" t="s">
        <v>83</v>
      </c>
      <c r="L15" t="s">
        <v>84</v>
      </c>
    </row>
    <row r="16" spans="1:12">
      <c r="A16" t="s">
        <v>51</v>
      </c>
      <c r="B16">
        <v>5</v>
      </c>
      <c r="C16">
        <f>B16*C15</f>
        <v>100</v>
      </c>
      <c r="H16" t="s">
        <v>94</v>
      </c>
      <c r="I16" t="s">
        <v>46</v>
      </c>
      <c r="J16" s="1" t="s">
        <v>109</v>
      </c>
      <c r="K16" s="1" t="s">
        <v>227</v>
      </c>
      <c r="L16" t="s">
        <v>210</v>
      </c>
    </row>
    <row r="17" spans="1:12">
      <c r="A17" t="s">
        <v>52</v>
      </c>
      <c r="B17">
        <v>1.7</v>
      </c>
      <c r="C17">
        <f>B17*C15</f>
        <v>34</v>
      </c>
      <c r="J17" t="s">
        <v>6</v>
      </c>
      <c r="K17" t="s">
        <v>228</v>
      </c>
    </row>
    <row r="18" spans="1:12">
      <c r="A18" t="s">
        <v>53</v>
      </c>
      <c r="B18">
        <v>0.5</v>
      </c>
      <c r="C18">
        <f>B18*C15</f>
        <v>10</v>
      </c>
      <c r="J18" t="s">
        <v>146</v>
      </c>
    </row>
    <row r="19" spans="1:12">
      <c r="A19" t="s">
        <v>55</v>
      </c>
      <c r="B19">
        <v>0.5</v>
      </c>
      <c r="C19">
        <f>B19*C15</f>
        <v>10</v>
      </c>
      <c r="J19" t="s">
        <v>235</v>
      </c>
    </row>
    <row r="20" spans="1:12">
      <c r="A20" t="s">
        <v>56</v>
      </c>
      <c r="B20">
        <v>0.5</v>
      </c>
      <c r="C20">
        <f>B20*C15</f>
        <v>10</v>
      </c>
      <c r="J20" t="s">
        <v>236</v>
      </c>
    </row>
    <row r="21" spans="1:12">
      <c r="A21" t="s">
        <v>57</v>
      </c>
      <c r="B21">
        <v>0.25</v>
      </c>
      <c r="C21">
        <f>B21*C15</f>
        <v>5</v>
      </c>
      <c r="J21" t="s">
        <v>237</v>
      </c>
    </row>
    <row r="22" spans="1:12">
      <c r="A22" t="s">
        <v>58</v>
      </c>
      <c r="B22">
        <v>15.6</v>
      </c>
      <c r="C22">
        <f>B22*C15</f>
        <v>312</v>
      </c>
      <c r="J22" t="s">
        <v>238</v>
      </c>
    </row>
    <row r="23" spans="1:12">
      <c r="A23" t="s">
        <v>59</v>
      </c>
      <c r="B23">
        <v>1</v>
      </c>
      <c r="C23">
        <f>B23*C15</f>
        <v>20</v>
      </c>
      <c r="J23" t="s">
        <v>239</v>
      </c>
    </row>
    <row r="24" spans="1:12">
      <c r="A24" t="s">
        <v>61</v>
      </c>
      <c r="B24">
        <v>25</v>
      </c>
      <c r="C24">
        <f>B24*C15</f>
        <v>500</v>
      </c>
      <c r="J24" t="s">
        <v>240</v>
      </c>
    </row>
    <row r="25" spans="1:12">
      <c r="J25" t="s">
        <v>112</v>
      </c>
    </row>
    <row r="28" spans="1:12">
      <c r="A28" t="s">
        <v>226</v>
      </c>
    </row>
    <row r="29" spans="1:12">
      <c r="B29" t="s">
        <v>60</v>
      </c>
      <c r="C29">
        <v>20</v>
      </c>
      <c r="H29" t="s">
        <v>80</v>
      </c>
      <c r="I29" t="s">
        <v>81</v>
      </c>
      <c r="J29" t="s">
        <v>82</v>
      </c>
      <c r="K29" t="s">
        <v>83</v>
      </c>
      <c r="L29" t="s">
        <v>84</v>
      </c>
    </row>
    <row r="30" spans="1:12">
      <c r="A30" t="s">
        <v>51</v>
      </c>
      <c r="B30">
        <v>5</v>
      </c>
      <c r="C30">
        <f>B30*C29</f>
        <v>100</v>
      </c>
      <c r="H30" t="s">
        <v>94</v>
      </c>
      <c r="I30" t="s">
        <v>46</v>
      </c>
      <c r="J30" s="1" t="s">
        <v>109</v>
      </c>
      <c r="K30" s="1" t="s">
        <v>231</v>
      </c>
      <c r="L30" t="s">
        <v>230</v>
      </c>
    </row>
    <row r="31" spans="1:12">
      <c r="A31" t="s">
        <v>52</v>
      </c>
      <c r="B31">
        <v>1.7</v>
      </c>
      <c r="C31">
        <f>B31*C29</f>
        <v>34</v>
      </c>
      <c r="J31" t="s">
        <v>6</v>
      </c>
      <c r="K31" t="s">
        <v>229</v>
      </c>
    </row>
    <row r="32" spans="1:12">
      <c r="A32" t="s">
        <v>53</v>
      </c>
      <c r="B32">
        <v>0.5</v>
      </c>
      <c r="C32">
        <f>B32*C29</f>
        <v>10</v>
      </c>
      <c r="J32" t="s">
        <v>146</v>
      </c>
    </row>
    <row r="33" spans="1:12">
      <c r="A33" t="s">
        <v>55</v>
      </c>
      <c r="B33">
        <v>0.5</v>
      </c>
      <c r="C33">
        <f>B33*C29</f>
        <v>10</v>
      </c>
      <c r="J33" t="s">
        <v>235</v>
      </c>
    </row>
    <row r="34" spans="1:12">
      <c r="A34" t="s">
        <v>56</v>
      </c>
      <c r="B34">
        <v>0.5</v>
      </c>
      <c r="C34">
        <f>B34*C29</f>
        <v>10</v>
      </c>
      <c r="J34" t="s">
        <v>236</v>
      </c>
    </row>
    <row r="35" spans="1:12">
      <c r="A35" t="s">
        <v>57</v>
      </c>
      <c r="B35">
        <v>0.25</v>
      </c>
      <c r="C35">
        <f>B35*C29</f>
        <v>5</v>
      </c>
      <c r="J35" t="s">
        <v>237</v>
      </c>
    </row>
    <row r="36" spans="1:12">
      <c r="A36" t="s">
        <v>58</v>
      </c>
      <c r="B36">
        <v>15.6</v>
      </c>
      <c r="C36">
        <f>B36*C29</f>
        <v>312</v>
      </c>
      <c r="J36" t="s">
        <v>238</v>
      </c>
    </row>
    <row r="37" spans="1:12">
      <c r="A37" t="s">
        <v>59</v>
      </c>
      <c r="B37">
        <v>1</v>
      </c>
      <c r="C37">
        <f>B37*C29</f>
        <v>20</v>
      </c>
      <c r="J37" t="s">
        <v>239</v>
      </c>
    </row>
    <row r="38" spans="1:12">
      <c r="A38" t="s">
        <v>61</v>
      </c>
      <c r="B38">
        <v>25</v>
      </c>
      <c r="C38">
        <f>B38*C29</f>
        <v>500</v>
      </c>
      <c r="J38" t="s">
        <v>240</v>
      </c>
    </row>
    <row r="40" spans="1:12">
      <c r="J40" t="s">
        <v>112</v>
      </c>
    </row>
    <row r="42" spans="1:12">
      <c r="A42" t="s">
        <v>232</v>
      </c>
      <c r="H42" t="s">
        <v>80</v>
      </c>
      <c r="I42" t="s">
        <v>81</v>
      </c>
      <c r="J42" t="s">
        <v>82</v>
      </c>
      <c r="K42" t="s">
        <v>83</v>
      </c>
      <c r="L42" t="s">
        <v>84</v>
      </c>
    </row>
    <row r="43" spans="1:12">
      <c r="B43" t="s">
        <v>60</v>
      </c>
      <c r="C43">
        <v>20</v>
      </c>
      <c r="H43" t="s">
        <v>94</v>
      </c>
      <c r="I43" t="s">
        <v>46</v>
      </c>
      <c r="J43" s="1" t="s">
        <v>109</v>
      </c>
      <c r="K43" s="1" t="s">
        <v>233</v>
      </c>
      <c r="L43" t="s">
        <v>234</v>
      </c>
    </row>
    <row r="44" spans="1:12">
      <c r="A44" t="s">
        <v>51</v>
      </c>
      <c r="B44">
        <v>5</v>
      </c>
      <c r="C44">
        <f>B44*C43</f>
        <v>100</v>
      </c>
      <c r="J44" t="s">
        <v>6</v>
      </c>
      <c r="K44" t="s">
        <v>223</v>
      </c>
    </row>
    <row r="45" spans="1:12">
      <c r="A45" t="s">
        <v>52</v>
      </c>
      <c r="B45">
        <v>1.7</v>
      </c>
      <c r="C45">
        <f>B45*C43</f>
        <v>34</v>
      </c>
      <c r="J45" t="s">
        <v>146</v>
      </c>
    </row>
    <row r="46" spans="1:12">
      <c r="A46" t="s">
        <v>53</v>
      </c>
      <c r="B46">
        <v>0.5</v>
      </c>
      <c r="C46">
        <f>B46*C43</f>
        <v>10</v>
      </c>
      <c r="J46" t="s">
        <v>235</v>
      </c>
    </row>
    <row r="47" spans="1:12">
      <c r="A47" t="s">
        <v>55</v>
      </c>
      <c r="B47">
        <v>0.5</v>
      </c>
      <c r="C47">
        <f>B47*C43</f>
        <v>10</v>
      </c>
      <c r="J47" t="s">
        <v>236</v>
      </c>
    </row>
    <row r="48" spans="1:12">
      <c r="A48" t="s">
        <v>56</v>
      </c>
      <c r="B48">
        <v>0.5</v>
      </c>
      <c r="C48">
        <f>B48*C43</f>
        <v>10</v>
      </c>
      <c r="J48" t="s">
        <v>237</v>
      </c>
    </row>
    <row r="49" spans="1:10">
      <c r="A49" t="s">
        <v>57</v>
      </c>
      <c r="B49">
        <v>0.25</v>
      </c>
      <c r="C49">
        <f>B49*C43</f>
        <v>5</v>
      </c>
      <c r="J49" t="s">
        <v>238</v>
      </c>
    </row>
    <row r="50" spans="1:10">
      <c r="A50" t="s">
        <v>58</v>
      </c>
      <c r="B50">
        <v>15.6</v>
      </c>
      <c r="C50">
        <f>B50*C43</f>
        <v>312</v>
      </c>
      <c r="J50" t="s">
        <v>239</v>
      </c>
    </row>
    <row r="51" spans="1:10">
      <c r="A51" t="s">
        <v>59</v>
      </c>
      <c r="B51">
        <v>1</v>
      </c>
      <c r="C51">
        <f>B51*C43</f>
        <v>20</v>
      </c>
      <c r="J51" t="s">
        <v>240</v>
      </c>
    </row>
    <row r="52" spans="1:10">
      <c r="A52" t="s">
        <v>61</v>
      </c>
      <c r="B52">
        <v>25</v>
      </c>
      <c r="C52">
        <f>B52*C43</f>
        <v>500</v>
      </c>
      <c r="J52" t="s">
        <v>112</v>
      </c>
    </row>
    <row r="55" spans="1:10">
      <c r="A55" t="s">
        <v>8</v>
      </c>
    </row>
  </sheetData>
  <phoneticPr fontId="6" type="noConversion"/>
  <pageMargins left="0.7" right="0.7" top="0.75" bottom="0.75" header="0.3" footer="0.3"/>
  <extLst>
    <ext xmlns:mx="http://schemas.microsoft.com/office/mac/excel/2008/main" uri="http://schemas.microsoft.com/office/mac/excel/2008/main">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12"/>
  <sheetViews>
    <sheetView view="pageLayout" workbookViewId="0">
      <selection activeCell="A2" sqref="A2:B12"/>
    </sheetView>
  </sheetViews>
  <sheetFormatPr baseColWidth="10" defaultRowHeight="14"/>
  <sheetData>
    <row r="1" spans="1:3">
      <c r="A1" t="s">
        <v>113</v>
      </c>
    </row>
    <row r="2" spans="1:3">
      <c r="B2" t="s">
        <v>60</v>
      </c>
      <c r="C2">
        <v>20</v>
      </c>
    </row>
    <row r="3" spans="1:3">
      <c r="A3" t="s">
        <v>51</v>
      </c>
      <c r="B3">
        <v>4</v>
      </c>
      <c r="C3">
        <f>B3*C2</f>
        <v>80</v>
      </c>
    </row>
    <row r="4" spans="1:3">
      <c r="A4" t="s">
        <v>52</v>
      </c>
      <c r="B4">
        <v>2.5</v>
      </c>
      <c r="C4">
        <f>B4*C2</f>
        <v>50</v>
      </c>
    </row>
    <row r="5" spans="1:3">
      <c r="A5" t="s">
        <v>53</v>
      </c>
      <c r="B5">
        <v>0.5</v>
      </c>
      <c r="C5">
        <f>B5*C2</f>
        <v>10</v>
      </c>
    </row>
    <row r="6" spans="1:3">
      <c r="A6" t="s">
        <v>55</v>
      </c>
      <c r="B6">
        <v>0.25</v>
      </c>
      <c r="C6">
        <f>B6*C2</f>
        <v>5</v>
      </c>
    </row>
    <row r="7" spans="1:3">
      <c r="A7" t="s">
        <v>56</v>
      </c>
      <c r="B7">
        <v>0.25</v>
      </c>
      <c r="C7">
        <f>B7*C2</f>
        <v>5</v>
      </c>
    </row>
    <row r="8" spans="1:3">
      <c r="A8" t="s">
        <v>66</v>
      </c>
      <c r="B8">
        <v>0.25</v>
      </c>
      <c r="C8">
        <f>B8*C2</f>
        <v>5</v>
      </c>
    </row>
    <row r="9" spans="1:3">
      <c r="A9" t="s">
        <v>57</v>
      </c>
      <c r="B9">
        <v>0.2</v>
      </c>
      <c r="C9">
        <f>B9*C2</f>
        <v>4</v>
      </c>
    </row>
    <row r="10" spans="1:3">
      <c r="A10" t="s">
        <v>58</v>
      </c>
      <c r="B10">
        <v>16.05</v>
      </c>
      <c r="C10">
        <f>B10*C2</f>
        <v>321</v>
      </c>
    </row>
    <row r="11" spans="1:3">
      <c r="A11" t="s">
        <v>59</v>
      </c>
      <c r="B11">
        <v>1</v>
      </c>
      <c r="C11">
        <f>B11*C2</f>
        <v>20</v>
      </c>
    </row>
    <row r="12" spans="1:3">
      <c r="A12" t="s">
        <v>61</v>
      </c>
      <c r="B12">
        <f>SUM(B3:B11)</f>
        <v>25</v>
      </c>
      <c r="C12">
        <f>B12*C2</f>
        <v>500</v>
      </c>
    </row>
  </sheetData>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20"/>
  <sheetViews>
    <sheetView view="pageLayout" workbookViewId="0">
      <selection activeCell="D14" sqref="D14:E20"/>
    </sheetView>
  </sheetViews>
  <sheetFormatPr baseColWidth="10" defaultRowHeight="14"/>
  <cols>
    <col min="3" max="3" width="13.1640625" customWidth="1"/>
    <col min="4" max="4" width="15.6640625" bestFit="1" customWidth="1"/>
    <col min="5" max="5" width="32.83203125" bestFit="1" customWidth="1"/>
    <col min="6" max="6" width="20.33203125" bestFit="1" customWidth="1"/>
    <col min="7" max="7" width="23" bestFit="1" customWidth="1"/>
    <col min="8" max="8" width="40.1640625" customWidth="1"/>
  </cols>
  <sheetData>
    <row r="1" spans="1:8" ht="15">
      <c r="A1" s="23"/>
      <c r="D1" s="13" t="s">
        <v>181</v>
      </c>
      <c r="E1" s="13" t="s">
        <v>182</v>
      </c>
      <c r="F1" s="13" t="s">
        <v>135</v>
      </c>
      <c r="G1" s="14" t="s">
        <v>136</v>
      </c>
      <c r="H1" s="14" t="s">
        <v>137</v>
      </c>
    </row>
    <row r="2" spans="1:8" ht="15">
      <c r="A2" s="12"/>
      <c r="B2" s="12" t="s">
        <v>60</v>
      </c>
      <c r="D2" s="18" t="s">
        <v>183</v>
      </c>
      <c r="E2" s="16" t="s">
        <v>184</v>
      </c>
      <c r="F2" s="15" t="s">
        <v>138</v>
      </c>
      <c r="G2" s="16" t="s">
        <v>178</v>
      </c>
      <c r="H2" s="21" t="s">
        <v>179</v>
      </c>
    </row>
    <row r="3" spans="1:8" ht="15">
      <c r="A3" s="12" t="s">
        <v>51</v>
      </c>
      <c r="B3" s="12">
        <v>5</v>
      </c>
      <c r="D3" s="18" t="s">
        <v>185</v>
      </c>
      <c r="E3" s="19" t="s">
        <v>186</v>
      </c>
      <c r="F3" s="15" t="s">
        <v>138</v>
      </c>
      <c r="G3" s="16" t="s">
        <v>180</v>
      </c>
      <c r="H3" s="22" t="s">
        <v>189</v>
      </c>
    </row>
    <row r="4" spans="1:8" ht="15">
      <c r="A4" s="12" t="s">
        <v>52</v>
      </c>
      <c r="B4" s="12">
        <v>2</v>
      </c>
      <c r="D4" s="20" t="s">
        <v>187</v>
      </c>
      <c r="E4" s="19" t="s">
        <v>188</v>
      </c>
    </row>
    <row r="5" spans="1:8">
      <c r="A5" s="12" t="s">
        <v>53</v>
      </c>
      <c r="B5" s="12">
        <v>0.5</v>
      </c>
    </row>
    <row r="6" spans="1:8">
      <c r="A6" s="12" t="s">
        <v>55</v>
      </c>
      <c r="B6" s="12">
        <v>0.5</v>
      </c>
    </row>
    <row r="7" spans="1:8">
      <c r="A7" s="12" t="s">
        <v>56</v>
      </c>
      <c r="B7" s="12">
        <v>0.5</v>
      </c>
    </row>
    <row r="8" spans="1:8">
      <c r="A8" s="12" t="s">
        <v>57</v>
      </c>
      <c r="B8" s="12">
        <v>0.5</v>
      </c>
    </row>
    <row r="9" spans="1:8">
      <c r="A9" s="12" t="s">
        <v>58</v>
      </c>
      <c r="B9" s="12">
        <v>15</v>
      </c>
    </row>
    <row r="10" spans="1:8">
      <c r="A10" s="12" t="s">
        <v>59</v>
      </c>
      <c r="B10" s="12">
        <v>1</v>
      </c>
    </row>
    <row r="11" spans="1:8">
      <c r="A11" s="12" t="s">
        <v>61</v>
      </c>
      <c r="B11" s="12">
        <v>25</v>
      </c>
    </row>
    <row r="14" spans="1:8">
      <c r="D14" s="8" t="s">
        <v>81</v>
      </c>
      <c r="E14" t="s">
        <v>82</v>
      </c>
    </row>
    <row r="15" spans="1:8">
      <c r="D15" s="8">
        <v>52</v>
      </c>
      <c r="E15" s="1" t="s">
        <v>270</v>
      </c>
    </row>
    <row r="16" spans="1:8">
      <c r="E16" t="s">
        <v>271</v>
      </c>
    </row>
    <row r="17" spans="5:5">
      <c r="E17" t="s">
        <v>273</v>
      </c>
    </row>
    <row r="18" spans="5:5">
      <c r="E18" t="s">
        <v>274</v>
      </c>
    </row>
    <row r="19" spans="5:5">
      <c r="E19" t="s">
        <v>276</v>
      </c>
    </row>
    <row r="20" spans="5:5">
      <c r="E20" t="s">
        <v>201</v>
      </c>
    </row>
  </sheetData>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21"/>
  <sheetViews>
    <sheetView view="pageLayout" workbookViewId="0">
      <selection activeCell="B10" sqref="B10"/>
    </sheetView>
  </sheetViews>
  <sheetFormatPr baseColWidth="10" defaultRowHeight="14"/>
  <cols>
    <col min="4" max="4" width="15.1640625" customWidth="1"/>
    <col min="5" max="5" width="35" customWidth="1"/>
    <col min="6" max="6" width="20.33203125" bestFit="1" customWidth="1"/>
    <col min="7" max="7" width="23" bestFit="1" customWidth="1"/>
    <col min="8" max="8" width="32.5" customWidth="1"/>
  </cols>
  <sheetData>
    <row r="1" spans="1:8" ht="15">
      <c r="A1" s="23"/>
      <c r="D1" s="13" t="s">
        <v>181</v>
      </c>
      <c r="E1" s="13" t="s">
        <v>182</v>
      </c>
      <c r="F1" s="13" t="s">
        <v>135</v>
      </c>
      <c r="G1" s="14" t="s">
        <v>136</v>
      </c>
      <c r="H1" s="14" t="s">
        <v>137</v>
      </c>
    </row>
    <row r="2" spans="1:8" ht="15">
      <c r="A2" s="12"/>
      <c r="B2" s="12" t="s">
        <v>60</v>
      </c>
      <c r="D2" s="20" t="s">
        <v>190</v>
      </c>
      <c r="E2" s="19" t="s">
        <v>191</v>
      </c>
      <c r="F2" s="19" t="s">
        <v>194</v>
      </c>
      <c r="G2" s="19" t="s">
        <v>195</v>
      </c>
      <c r="H2" s="17" t="s">
        <v>196</v>
      </c>
    </row>
    <row r="3" spans="1:8" ht="15">
      <c r="A3" s="12" t="s">
        <v>51</v>
      </c>
      <c r="B3" s="12">
        <v>5</v>
      </c>
      <c r="D3" s="20" t="s">
        <v>192</v>
      </c>
      <c r="E3" s="26" t="s">
        <v>193</v>
      </c>
      <c r="F3" s="27"/>
      <c r="G3" s="28"/>
      <c r="H3" s="29"/>
    </row>
    <row r="4" spans="1:8" ht="15">
      <c r="A4" s="12" t="s">
        <v>52</v>
      </c>
      <c r="B4" s="12">
        <v>2</v>
      </c>
      <c r="D4" s="24"/>
      <c r="E4" s="25"/>
    </row>
    <row r="5" spans="1:8">
      <c r="A5" s="12" t="s">
        <v>53</v>
      </c>
      <c r="B5" s="12">
        <v>0.5</v>
      </c>
    </row>
    <row r="6" spans="1:8">
      <c r="A6" s="12" t="s">
        <v>55</v>
      </c>
      <c r="B6" s="12">
        <v>0.5</v>
      </c>
    </row>
    <row r="7" spans="1:8">
      <c r="A7" s="12" t="s">
        <v>56</v>
      </c>
      <c r="B7" s="12">
        <v>0.5</v>
      </c>
    </row>
    <row r="8" spans="1:8">
      <c r="A8" s="12" t="s">
        <v>57</v>
      </c>
      <c r="B8" s="12">
        <v>0.5</v>
      </c>
    </row>
    <row r="9" spans="1:8">
      <c r="A9" s="12" t="s">
        <v>58</v>
      </c>
      <c r="B9" s="12">
        <v>15</v>
      </c>
    </row>
    <row r="10" spans="1:8">
      <c r="A10" s="12" t="s">
        <v>59</v>
      </c>
      <c r="B10" s="12">
        <v>1</v>
      </c>
    </row>
    <row r="11" spans="1:8">
      <c r="A11" s="12" t="s">
        <v>61</v>
      </c>
      <c r="B11" s="12">
        <v>25</v>
      </c>
    </row>
    <row r="15" spans="1:8">
      <c r="D15" s="8" t="s">
        <v>81</v>
      </c>
      <c r="E15" t="s">
        <v>82</v>
      </c>
    </row>
    <row r="16" spans="1:8">
      <c r="D16" s="8">
        <v>52</v>
      </c>
      <c r="E16" s="1" t="s">
        <v>270</v>
      </c>
    </row>
    <row r="17" spans="5:5">
      <c r="E17" t="s">
        <v>271</v>
      </c>
    </row>
    <row r="18" spans="5:5">
      <c r="E18" t="s">
        <v>273</v>
      </c>
    </row>
    <row r="19" spans="5:5">
      <c r="E19" t="s">
        <v>274</v>
      </c>
    </row>
    <row r="20" spans="5:5">
      <c r="E20" t="s">
        <v>276</v>
      </c>
    </row>
    <row r="21" spans="5:5">
      <c r="E21" t="s">
        <v>201</v>
      </c>
    </row>
  </sheetData>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V21"/>
  <sheetViews>
    <sheetView view="pageLayout" workbookViewId="0">
      <selection activeCell="E19" sqref="E19"/>
    </sheetView>
  </sheetViews>
  <sheetFormatPr baseColWidth="10" defaultRowHeight="14"/>
  <cols>
    <col min="4" max="4" width="17.83203125" customWidth="1"/>
    <col min="5" max="5" width="30.33203125" customWidth="1"/>
    <col min="6" max="6" width="9.6640625" bestFit="1" customWidth="1"/>
    <col min="7" max="7" width="35" customWidth="1"/>
    <col min="8" max="8" width="32.6640625" customWidth="1"/>
  </cols>
  <sheetData>
    <row r="1" spans="1:22" ht="15">
      <c r="A1" s="23"/>
      <c r="D1" s="35" t="s">
        <v>278</v>
      </c>
      <c r="E1" s="35" t="s">
        <v>279</v>
      </c>
      <c r="F1" s="35" t="s">
        <v>280</v>
      </c>
      <c r="G1" s="35" t="s">
        <v>281</v>
      </c>
      <c r="H1" s="35" t="s">
        <v>282</v>
      </c>
      <c r="I1" s="12"/>
      <c r="J1" s="12"/>
      <c r="K1" s="12"/>
      <c r="L1" s="12"/>
      <c r="M1" s="12"/>
      <c r="N1" s="12"/>
      <c r="O1" s="12"/>
      <c r="P1" s="12"/>
      <c r="Q1" s="12"/>
      <c r="R1" s="12"/>
      <c r="S1" s="12"/>
      <c r="T1" s="12"/>
      <c r="U1" s="12"/>
      <c r="V1" s="12"/>
    </row>
    <row r="2" spans="1:22">
      <c r="A2" s="12"/>
      <c r="B2" s="12" t="s">
        <v>60</v>
      </c>
      <c r="D2" s="36" t="s">
        <v>277</v>
      </c>
      <c r="E2" s="36" t="s">
        <v>283</v>
      </c>
      <c r="F2" s="36" t="s">
        <v>199</v>
      </c>
      <c r="G2" s="36" t="s">
        <v>284</v>
      </c>
      <c r="H2" s="36" t="s">
        <v>200</v>
      </c>
      <c r="I2" s="12"/>
      <c r="J2" s="12"/>
      <c r="K2" s="12"/>
      <c r="L2" s="12"/>
      <c r="M2" s="12"/>
      <c r="N2" s="12"/>
      <c r="O2" s="12"/>
      <c r="P2" s="12"/>
      <c r="Q2" s="12"/>
      <c r="R2" s="12"/>
      <c r="S2" s="12"/>
      <c r="T2" s="12"/>
      <c r="U2" s="12"/>
      <c r="V2" s="12"/>
    </row>
    <row r="3" spans="1:22">
      <c r="A3" s="12" t="s">
        <v>51</v>
      </c>
      <c r="B3" s="12">
        <v>5</v>
      </c>
      <c r="D3" s="36" t="s">
        <v>197</v>
      </c>
      <c r="E3" s="36" t="s">
        <v>198</v>
      </c>
      <c r="F3" s="33"/>
      <c r="G3" s="37"/>
      <c r="H3" s="38"/>
      <c r="I3" s="12"/>
      <c r="J3" s="12"/>
      <c r="K3" s="12"/>
      <c r="L3" s="12"/>
      <c r="M3" s="12"/>
      <c r="N3" s="12"/>
      <c r="O3" s="12"/>
      <c r="P3" s="12"/>
      <c r="Q3" s="12"/>
      <c r="R3" s="12"/>
      <c r="S3" s="12"/>
      <c r="T3" s="12"/>
      <c r="U3" s="12"/>
      <c r="V3" s="12"/>
    </row>
    <row r="4" spans="1:22">
      <c r="A4" s="12" t="s">
        <v>52</v>
      </c>
      <c r="B4" s="12">
        <v>2</v>
      </c>
      <c r="D4" s="39"/>
      <c r="E4" s="40"/>
      <c r="F4" s="12"/>
      <c r="G4" s="12"/>
      <c r="H4" s="12"/>
      <c r="I4" s="12"/>
      <c r="J4" s="12"/>
      <c r="K4" s="12"/>
      <c r="L4" s="12"/>
      <c r="M4" s="12"/>
      <c r="N4" s="12"/>
      <c r="O4" s="12"/>
      <c r="P4" s="12"/>
      <c r="Q4" s="12"/>
      <c r="R4" s="12"/>
      <c r="S4" s="12"/>
      <c r="T4" s="12"/>
      <c r="U4" s="12"/>
      <c r="V4" s="12"/>
    </row>
    <row r="5" spans="1:22">
      <c r="A5" s="12" t="s">
        <v>53</v>
      </c>
      <c r="B5" s="12">
        <v>0.5</v>
      </c>
    </row>
    <row r="6" spans="1:22">
      <c r="A6" s="12" t="s">
        <v>55</v>
      </c>
      <c r="B6" s="12">
        <v>0.5</v>
      </c>
    </row>
    <row r="7" spans="1:22">
      <c r="A7" s="12" t="s">
        <v>56</v>
      </c>
      <c r="B7" s="12">
        <v>0.5</v>
      </c>
    </row>
    <row r="8" spans="1:22">
      <c r="A8" s="12" t="s">
        <v>57</v>
      </c>
      <c r="B8" s="12">
        <v>0.5</v>
      </c>
    </row>
    <row r="9" spans="1:22">
      <c r="A9" s="12" t="s">
        <v>58</v>
      </c>
      <c r="B9" s="12">
        <v>15</v>
      </c>
    </row>
    <row r="10" spans="1:22">
      <c r="A10" s="12" t="s">
        <v>59</v>
      </c>
      <c r="B10" s="12">
        <v>1</v>
      </c>
    </row>
    <row r="11" spans="1:22">
      <c r="A11" s="12" t="s">
        <v>61</v>
      </c>
      <c r="B11" s="12">
        <v>25</v>
      </c>
    </row>
    <row r="15" spans="1:22">
      <c r="D15" s="30" t="s">
        <v>81</v>
      </c>
      <c r="E15" s="12" t="s">
        <v>82</v>
      </c>
    </row>
    <row r="16" spans="1:22">
      <c r="D16" s="30">
        <v>52</v>
      </c>
      <c r="E16" s="31" t="s">
        <v>97</v>
      </c>
    </row>
    <row r="17" spans="4:5">
      <c r="D17" s="12"/>
      <c r="E17" s="12" t="s">
        <v>110</v>
      </c>
    </row>
    <row r="18" spans="4:5">
      <c r="D18" s="12"/>
      <c r="E18" s="12" t="s">
        <v>272</v>
      </c>
    </row>
    <row r="19" spans="4:5">
      <c r="D19" s="12"/>
      <c r="E19" s="12" t="s">
        <v>100</v>
      </c>
    </row>
    <row r="20" spans="4:5">
      <c r="D20" s="12"/>
      <c r="E20" s="12" t="s">
        <v>275</v>
      </c>
    </row>
    <row r="21" spans="4:5">
      <c r="D21" s="12"/>
      <c r="E21" s="12" t="s">
        <v>107</v>
      </c>
    </row>
  </sheetData>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S34"/>
  <sheetViews>
    <sheetView view="pageLayout" workbookViewId="0">
      <selection activeCell="E26" sqref="E26"/>
    </sheetView>
  </sheetViews>
  <sheetFormatPr baseColWidth="10" defaultRowHeight="14"/>
  <cols>
    <col min="4" max="4" width="12.1640625" bestFit="1" customWidth="1"/>
    <col min="5" max="5" width="37.6640625" bestFit="1" customWidth="1"/>
    <col min="6" max="6" width="21" bestFit="1" customWidth="1"/>
    <col min="7" max="7" width="27.6640625" bestFit="1" customWidth="1"/>
  </cols>
  <sheetData>
    <row r="1" spans="1:19" ht="14" customHeight="1">
      <c r="A1" s="41" t="s">
        <v>266</v>
      </c>
      <c r="B1" s="41"/>
      <c r="C1" s="41"/>
      <c r="D1" s="32" t="s">
        <v>259</v>
      </c>
      <c r="E1" s="32" t="s">
        <v>260</v>
      </c>
      <c r="F1" s="32" t="s">
        <v>261</v>
      </c>
      <c r="G1" s="32" t="s">
        <v>262</v>
      </c>
      <c r="H1" s="32" t="s">
        <v>263</v>
      </c>
      <c r="I1" s="32" t="s">
        <v>264</v>
      </c>
      <c r="J1" s="49"/>
      <c r="K1" s="49"/>
      <c r="L1" s="49"/>
      <c r="M1" s="49"/>
      <c r="N1" s="49"/>
      <c r="O1" s="49"/>
      <c r="P1" s="49"/>
      <c r="Q1" s="49"/>
      <c r="R1" s="49"/>
      <c r="S1" s="49"/>
    </row>
    <row r="2" spans="1:19" ht="14" customHeight="1">
      <c r="A2" s="42" t="s">
        <v>285</v>
      </c>
      <c r="B2" s="41">
        <v>5</v>
      </c>
      <c r="C2" s="41"/>
      <c r="D2" s="44" t="s">
        <v>299</v>
      </c>
      <c r="E2" s="44" t="s">
        <v>300</v>
      </c>
      <c r="F2" s="45" t="s">
        <v>267</v>
      </c>
      <c r="G2" s="46" t="s">
        <v>268</v>
      </c>
      <c r="H2" s="47" t="s">
        <v>269</v>
      </c>
      <c r="I2" s="48" t="s">
        <v>331</v>
      </c>
      <c r="J2" s="49"/>
      <c r="K2" s="49"/>
      <c r="L2" s="49"/>
      <c r="M2" s="49"/>
      <c r="N2" s="49"/>
      <c r="O2" s="49"/>
      <c r="P2" s="49"/>
      <c r="Q2" s="49"/>
      <c r="R2" s="49"/>
      <c r="S2" s="49"/>
    </row>
    <row r="3" spans="1:19" ht="14" customHeight="1">
      <c r="A3" s="42" t="s">
        <v>297</v>
      </c>
      <c r="B3" s="41">
        <v>1.5</v>
      </c>
      <c r="C3" s="42"/>
      <c r="D3" s="44" t="s">
        <v>332</v>
      </c>
      <c r="E3" s="44" t="s">
        <v>301</v>
      </c>
      <c r="F3" s="49"/>
      <c r="G3" s="49"/>
      <c r="H3" s="49"/>
      <c r="I3" s="49"/>
      <c r="J3" s="49"/>
      <c r="K3" s="49"/>
      <c r="L3" s="49"/>
      <c r="M3" s="49"/>
      <c r="N3" s="49"/>
      <c r="O3" s="49"/>
      <c r="P3" s="49"/>
      <c r="Q3" s="49"/>
      <c r="R3" s="49"/>
      <c r="S3" s="49"/>
    </row>
    <row r="4" spans="1:19" ht="14" customHeight="1">
      <c r="A4" s="42" t="s">
        <v>288</v>
      </c>
      <c r="B4" s="41">
        <v>1.25</v>
      </c>
      <c r="C4" s="42"/>
      <c r="D4" s="44" t="s">
        <v>265</v>
      </c>
      <c r="E4" s="44" t="s">
        <v>302</v>
      </c>
      <c r="F4" s="49"/>
      <c r="G4" s="49"/>
      <c r="H4" s="49"/>
      <c r="I4" s="49"/>
      <c r="J4" s="49"/>
      <c r="K4" s="49"/>
      <c r="L4" s="49"/>
      <c r="M4" s="49"/>
      <c r="N4" s="49"/>
      <c r="O4" s="49"/>
      <c r="P4" s="49"/>
      <c r="Q4" s="49"/>
      <c r="R4" s="49"/>
      <c r="S4" s="49"/>
    </row>
    <row r="5" spans="1:19" ht="14" customHeight="1">
      <c r="A5" s="42" t="s">
        <v>290</v>
      </c>
      <c r="B5" s="41">
        <v>1.25</v>
      </c>
      <c r="C5" s="42"/>
      <c r="D5" s="49"/>
      <c r="E5" s="49"/>
      <c r="F5" s="49"/>
      <c r="G5" s="49"/>
      <c r="H5" s="49"/>
      <c r="I5" s="49"/>
      <c r="J5" s="49"/>
      <c r="K5" s="49"/>
      <c r="L5" s="49"/>
      <c r="M5" s="49"/>
      <c r="N5" s="49"/>
      <c r="O5" s="49"/>
      <c r="P5" s="49"/>
      <c r="Q5" s="49"/>
      <c r="R5" s="49"/>
      <c r="S5" s="49"/>
    </row>
    <row r="6" spans="1:19" ht="14" customHeight="1">
      <c r="A6" s="42" t="s">
        <v>292</v>
      </c>
      <c r="B6" s="41">
        <v>0.5</v>
      </c>
      <c r="C6" s="42"/>
      <c r="D6" s="49"/>
      <c r="E6" s="49"/>
      <c r="F6" s="49"/>
      <c r="G6" s="49"/>
      <c r="H6" s="49"/>
      <c r="I6" s="49"/>
      <c r="J6" s="49"/>
      <c r="K6" s="49"/>
      <c r="L6" s="49"/>
      <c r="M6" s="49"/>
      <c r="N6" s="49"/>
      <c r="O6" s="49"/>
      <c r="P6" s="49"/>
      <c r="Q6" s="49"/>
      <c r="R6" s="49"/>
      <c r="S6" s="49"/>
    </row>
    <row r="7" spans="1:19" ht="14" customHeight="1">
      <c r="A7" s="42" t="s">
        <v>298</v>
      </c>
      <c r="B7" s="41">
        <v>12.45</v>
      </c>
      <c r="C7" s="42"/>
      <c r="D7" s="49"/>
      <c r="E7" s="49"/>
      <c r="F7" s="49"/>
      <c r="G7" s="49"/>
      <c r="H7" s="49"/>
      <c r="I7" s="49"/>
      <c r="J7" s="49"/>
      <c r="K7" s="49"/>
      <c r="L7" s="49"/>
      <c r="M7" s="49"/>
      <c r="N7" s="49"/>
      <c r="O7" s="49"/>
      <c r="P7" s="49"/>
      <c r="Q7" s="49"/>
      <c r="R7" s="49"/>
      <c r="S7" s="49"/>
    </row>
    <row r="8" spans="1:19" ht="14" customHeight="1">
      <c r="A8" s="42" t="s">
        <v>295</v>
      </c>
      <c r="B8" s="41">
        <v>0.3</v>
      </c>
      <c r="C8" s="66"/>
      <c r="D8" s="49"/>
      <c r="E8" s="49"/>
      <c r="F8" s="49"/>
      <c r="G8" s="49"/>
      <c r="H8" s="49"/>
      <c r="I8" s="49"/>
      <c r="J8" s="49"/>
      <c r="K8" s="49"/>
      <c r="L8" s="49"/>
      <c r="M8" s="49"/>
      <c r="N8" s="49"/>
      <c r="O8" s="49"/>
      <c r="P8" s="49"/>
      <c r="Q8" s="49"/>
      <c r="R8" s="49"/>
      <c r="S8" s="49"/>
    </row>
    <row r="9" spans="1:19" ht="14" customHeight="1">
      <c r="A9" s="42" t="s">
        <v>59</v>
      </c>
      <c r="B9" s="41">
        <v>1.25</v>
      </c>
      <c r="C9" s="66"/>
      <c r="D9" s="49"/>
      <c r="E9" s="49"/>
      <c r="F9" s="49"/>
      <c r="G9" s="49"/>
      <c r="H9" s="49"/>
      <c r="I9" s="49"/>
      <c r="J9" s="49"/>
      <c r="K9" s="49"/>
      <c r="L9" s="49"/>
      <c r="M9" s="49"/>
      <c r="N9" s="49"/>
      <c r="O9" s="49"/>
      <c r="P9" s="49"/>
      <c r="Q9" s="49"/>
      <c r="R9" s="49"/>
      <c r="S9" s="49"/>
    </row>
    <row r="10" spans="1:19" ht="14" customHeight="1">
      <c r="A10" s="34"/>
      <c r="B10" s="34"/>
      <c r="C10" s="34"/>
      <c r="D10" s="49"/>
      <c r="E10" s="49"/>
      <c r="F10" s="49"/>
      <c r="G10" s="49"/>
      <c r="H10" s="49"/>
      <c r="I10" s="49"/>
      <c r="J10" s="49"/>
      <c r="K10" s="49"/>
      <c r="L10" s="49"/>
      <c r="M10" s="49"/>
      <c r="N10" s="49"/>
      <c r="O10" s="49"/>
      <c r="P10" s="49"/>
      <c r="Q10" s="49"/>
      <c r="R10" s="49"/>
      <c r="S10" s="49"/>
    </row>
    <row r="11" spans="1:19" ht="14" customHeight="1">
      <c r="A11" s="34"/>
      <c r="B11" s="34"/>
      <c r="C11" s="34"/>
      <c r="D11" s="49"/>
      <c r="E11" s="49"/>
      <c r="F11" s="49"/>
      <c r="G11" s="49"/>
      <c r="H11" s="49"/>
      <c r="I11" s="49"/>
      <c r="J11" s="49"/>
      <c r="K11" s="49"/>
      <c r="L11" s="49"/>
      <c r="M11" s="49"/>
      <c r="N11" s="49"/>
      <c r="O11" s="49"/>
      <c r="P11" s="49"/>
      <c r="Q11" s="49"/>
      <c r="R11" s="49"/>
      <c r="S11" s="49"/>
    </row>
    <row r="12" spans="1:19" ht="14" customHeight="1">
      <c r="A12" s="43"/>
      <c r="B12" s="43"/>
      <c r="C12" s="43"/>
    </row>
    <row r="13" spans="1:19">
      <c r="A13" s="43"/>
      <c r="B13" s="43"/>
      <c r="C13" s="43"/>
    </row>
    <row r="14" spans="1:19" ht="14" customHeight="1"/>
    <row r="15" spans="1:19" ht="14" customHeight="1"/>
    <row r="17" spans="4:6" s="37" customFormat="1" ht="14" customHeight="1">
      <c r="D17" s="50" t="s">
        <v>333</v>
      </c>
      <c r="E17" s="40"/>
      <c r="F17" s="40"/>
    </row>
    <row r="18" spans="4:6" s="37" customFormat="1" ht="14" customHeight="1">
      <c r="D18" s="40" t="s">
        <v>256</v>
      </c>
      <c r="E18" s="40"/>
      <c r="F18" s="40"/>
    </row>
    <row r="19" spans="4:6" s="37" customFormat="1" ht="14" customHeight="1">
      <c r="D19" s="51" t="s">
        <v>334</v>
      </c>
      <c r="E19" s="40"/>
      <c r="F19" s="40"/>
    </row>
    <row r="20" spans="4:6" s="37" customFormat="1" ht="14" customHeight="1">
      <c r="D20" s="40" t="s">
        <v>257</v>
      </c>
      <c r="E20" s="40"/>
      <c r="F20" s="40"/>
    </row>
    <row r="21" spans="4:6" s="37" customFormat="1" ht="14" customHeight="1">
      <c r="D21" s="51" t="s">
        <v>241</v>
      </c>
      <c r="E21" s="40"/>
      <c r="F21" s="40"/>
    </row>
    <row r="22" spans="4:6" s="37" customFormat="1" ht="14" customHeight="1">
      <c r="D22" s="40"/>
      <c r="E22" s="40"/>
      <c r="F22" s="40"/>
    </row>
    <row r="23" spans="4:6" s="37" customFormat="1" ht="14" customHeight="1">
      <c r="D23" s="52" t="s">
        <v>242</v>
      </c>
      <c r="E23" s="52" t="s">
        <v>286</v>
      </c>
    </row>
    <row r="24" spans="4:6" s="37" customFormat="1" ht="14" customHeight="1">
      <c r="E24" s="53" t="s">
        <v>287</v>
      </c>
    </row>
    <row r="25" spans="4:6" s="37" customFormat="1" ht="14" customHeight="1">
      <c r="E25" s="53" t="s">
        <v>289</v>
      </c>
    </row>
    <row r="26" spans="4:6" s="37" customFormat="1" ht="14" customHeight="1">
      <c r="E26" s="53" t="s">
        <v>291</v>
      </c>
    </row>
    <row r="27" spans="4:6" s="37" customFormat="1" ht="14" customHeight="1">
      <c r="E27" s="53" t="s">
        <v>293</v>
      </c>
    </row>
    <row r="28" spans="4:6" s="37" customFormat="1" ht="14" customHeight="1">
      <c r="E28" s="53" t="s">
        <v>294</v>
      </c>
    </row>
    <row r="29" spans="4:6" s="37" customFormat="1" ht="14" customHeight="1">
      <c r="E29" s="67" t="s">
        <v>296</v>
      </c>
    </row>
    <row r="30" spans="4:6" s="37" customFormat="1" ht="14" customHeight="1">
      <c r="E30" s="67"/>
    </row>
    <row r="31" spans="4:6" s="37" customFormat="1" ht="14" customHeight="1">
      <c r="E31" s="52"/>
    </row>
    <row r="32" spans="4:6" s="37" customFormat="1" ht="14" customHeight="1"/>
    <row r="33" spans="5:5" s="37" customFormat="1" ht="14" customHeight="1"/>
    <row r="34" spans="5:5">
      <c r="E34" s="43"/>
    </row>
  </sheetData>
  <mergeCells count="2">
    <mergeCell ref="C8:C9"/>
    <mergeCell ref="E29:E30"/>
  </mergeCells>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F33"/>
  <sheetViews>
    <sheetView view="pageLayout" workbookViewId="0">
      <selection sqref="A1:AF32"/>
    </sheetView>
  </sheetViews>
  <sheetFormatPr baseColWidth="10" defaultRowHeight="14"/>
  <cols>
    <col min="4" max="4" width="12.33203125" customWidth="1"/>
    <col min="5" max="5" width="38.5" customWidth="1"/>
    <col min="6" max="6" width="12.5" customWidth="1"/>
    <col min="7" max="7" width="16.83203125" bestFit="1" customWidth="1"/>
    <col min="8" max="8" width="21.5" customWidth="1"/>
  </cols>
  <sheetData>
    <row r="1" spans="1:32" ht="14" customHeight="1">
      <c r="A1" s="52" t="s">
        <v>254</v>
      </c>
      <c r="B1" s="52"/>
      <c r="C1" s="52"/>
      <c r="D1" s="35" t="s">
        <v>259</v>
      </c>
      <c r="E1" s="35" t="s">
        <v>260</v>
      </c>
      <c r="F1" s="35" t="s">
        <v>261</v>
      </c>
      <c r="G1" s="35" t="s">
        <v>262</v>
      </c>
      <c r="H1" s="35" t="s">
        <v>263</v>
      </c>
      <c r="I1" s="35" t="s">
        <v>264</v>
      </c>
      <c r="J1" s="12"/>
      <c r="K1" s="12"/>
      <c r="L1" s="12"/>
      <c r="M1" s="12"/>
      <c r="N1" s="12"/>
      <c r="O1" s="12"/>
      <c r="P1" s="12"/>
      <c r="Q1" s="12"/>
      <c r="R1" s="12"/>
      <c r="S1" s="12"/>
      <c r="T1" s="12"/>
      <c r="U1" s="12"/>
      <c r="V1" s="12"/>
      <c r="W1" s="12"/>
      <c r="X1" s="12"/>
      <c r="Y1" s="12"/>
      <c r="Z1" s="12"/>
      <c r="AA1" s="12"/>
      <c r="AB1" s="12"/>
      <c r="AC1" s="12"/>
      <c r="AD1" s="12"/>
      <c r="AE1" s="12"/>
      <c r="AF1" s="12"/>
    </row>
    <row r="2" spans="1:32" ht="14" customHeight="1">
      <c r="A2" s="53" t="s">
        <v>285</v>
      </c>
      <c r="B2" s="52">
        <v>5</v>
      </c>
      <c r="C2" s="52"/>
      <c r="D2" s="54" t="s">
        <v>248</v>
      </c>
      <c r="E2" s="54" t="s">
        <v>249</v>
      </c>
      <c r="F2" s="59" t="s">
        <v>247</v>
      </c>
      <c r="G2" s="55" t="s">
        <v>255</v>
      </c>
      <c r="H2" s="56" t="s">
        <v>325</v>
      </c>
      <c r="I2" s="57"/>
      <c r="J2" s="12"/>
      <c r="K2" s="12"/>
      <c r="L2" s="12"/>
      <c r="M2" s="12"/>
      <c r="N2" s="12"/>
      <c r="O2" s="12"/>
      <c r="P2" s="12"/>
      <c r="Q2" s="12"/>
      <c r="R2" s="12"/>
      <c r="S2" s="12"/>
      <c r="T2" s="12"/>
      <c r="U2" s="12"/>
      <c r="V2" s="12"/>
      <c r="W2" s="12"/>
      <c r="X2" s="12"/>
      <c r="Y2" s="12"/>
      <c r="Z2" s="12"/>
      <c r="AA2" s="12"/>
      <c r="AB2" s="12"/>
      <c r="AC2" s="12"/>
      <c r="AD2" s="12"/>
      <c r="AE2" s="12"/>
      <c r="AF2" s="12"/>
    </row>
    <row r="3" spans="1:32" ht="14" customHeight="1">
      <c r="A3" s="53" t="s">
        <v>245</v>
      </c>
      <c r="B3" s="52">
        <v>1.5</v>
      </c>
      <c r="C3" s="53"/>
      <c r="D3" s="54" t="s">
        <v>250</v>
      </c>
      <c r="E3" s="54" t="s">
        <v>251</v>
      </c>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2" ht="14" customHeight="1">
      <c r="A4" s="53" t="s">
        <v>288</v>
      </c>
      <c r="B4" s="52">
        <v>1.25</v>
      </c>
      <c r="C4" s="53"/>
      <c r="D4" s="54" t="s">
        <v>252</v>
      </c>
      <c r="E4" s="54" t="s">
        <v>253</v>
      </c>
      <c r="F4" s="12"/>
      <c r="G4" s="12"/>
      <c r="H4" s="12"/>
      <c r="I4" s="12"/>
      <c r="J4" s="12"/>
      <c r="K4" s="12"/>
      <c r="L4" s="12"/>
      <c r="M4" s="12"/>
      <c r="N4" s="12"/>
      <c r="O4" s="12"/>
      <c r="P4" s="12"/>
      <c r="Q4" s="12"/>
      <c r="R4" s="12"/>
      <c r="S4" s="12"/>
      <c r="T4" s="12"/>
      <c r="U4" s="12"/>
      <c r="V4" s="12"/>
      <c r="W4" s="12"/>
      <c r="X4" s="12"/>
      <c r="Y4" s="12"/>
      <c r="Z4" s="12"/>
      <c r="AA4" s="12"/>
      <c r="AB4" s="12"/>
      <c r="AC4" s="12"/>
      <c r="AD4" s="12"/>
      <c r="AE4" s="12"/>
      <c r="AF4" s="12"/>
    </row>
    <row r="5" spans="1:32" ht="14" customHeight="1">
      <c r="A5" s="53" t="s">
        <v>290</v>
      </c>
      <c r="B5" s="52">
        <v>1.25</v>
      </c>
      <c r="C5" s="53"/>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ht="14" customHeight="1">
      <c r="A6" s="53" t="s">
        <v>292</v>
      </c>
      <c r="B6" s="52">
        <v>0.5</v>
      </c>
      <c r="C6" s="53"/>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row>
    <row r="7" spans="1:32" ht="14" customHeight="1">
      <c r="A7" s="53" t="s">
        <v>246</v>
      </c>
      <c r="B7" s="52">
        <v>12.45</v>
      </c>
      <c r="C7" s="53"/>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row>
    <row r="8" spans="1:32" ht="14" customHeight="1">
      <c r="A8" s="53" t="s">
        <v>295</v>
      </c>
      <c r="B8" s="52">
        <v>0.3</v>
      </c>
      <c r="C8" s="58"/>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row>
    <row r="9" spans="1:32" ht="14" customHeight="1">
      <c r="A9" s="53" t="s">
        <v>59</v>
      </c>
      <c r="B9" s="52">
        <v>1.25</v>
      </c>
      <c r="C9" s="58"/>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ht="14" customHeight="1">
      <c r="A10" s="37"/>
      <c r="B10" s="37"/>
      <c r="C10" s="37"/>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row>
    <row r="11" spans="1:32" ht="14" customHeight="1">
      <c r="A11" s="37"/>
      <c r="B11" s="37"/>
      <c r="C11" s="37"/>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4" customHeight="1">
      <c r="A12" s="37"/>
      <c r="B12" s="37"/>
      <c r="C12" s="37"/>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row>
    <row r="13" spans="1:32" ht="14" customHeight="1">
      <c r="A13" s="37"/>
      <c r="B13" s="37"/>
      <c r="C13" s="37"/>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row>
    <row r="14" spans="1:32" ht="14"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spans="1:32" ht="14"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spans="1:32" ht="14"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row>
    <row r="17" spans="1:32" ht="14" customHeight="1">
      <c r="A17" s="37"/>
      <c r="B17" s="37"/>
      <c r="C17" s="37"/>
      <c r="D17" s="50" t="s">
        <v>243</v>
      </c>
      <c r="E17" s="40"/>
      <c r="F17" s="40"/>
      <c r="G17" s="37"/>
      <c r="H17" s="37"/>
      <c r="I17" s="37"/>
      <c r="J17" s="37"/>
      <c r="K17" s="37"/>
      <c r="L17" s="37"/>
      <c r="M17" s="37"/>
      <c r="N17" s="37"/>
      <c r="O17" s="37"/>
      <c r="P17" s="37"/>
      <c r="Q17" s="37"/>
      <c r="R17" s="37"/>
      <c r="S17" s="37"/>
      <c r="T17" s="12"/>
      <c r="U17" s="12"/>
      <c r="V17" s="12"/>
      <c r="W17" s="12"/>
      <c r="X17" s="12"/>
      <c r="Y17" s="12"/>
      <c r="Z17" s="12"/>
      <c r="AA17" s="12"/>
      <c r="AB17" s="12"/>
      <c r="AC17" s="12"/>
      <c r="AD17" s="12"/>
      <c r="AE17" s="12"/>
      <c r="AF17" s="12"/>
    </row>
    <row r="18" spans="1:32" ht="14" customHeight="1">
      <c r="A18" s="37"/>
      <c r="B18" s="37"/>
      <c r="C18" s="37"/>
      <c r="D18" s="40" t="s">
        <v>256</v>
      </c>
      <c r="E18" s="40"/>
      <c r="F18" s="40"/>
      <c r="G18" s="37"/>
      <c r="H18" s="37"/>
      <c r="I18" s="37"/>
      <c r="J18" s="37"/>
      <c r="K18" s="37"/>
      <c r="L18" s="37"/>
      <c r="M18" s="37"/>
      <c r="N18" s="37"/>
      <c r="O18" s="37"/>
      <c r="P18" s="37"/>
      <c r="Q18" s="37"/>
      <c r="R18" s="37"/>
      <c r="S18" s="37"/>
      <c r="T18" s="12"/>
      <c r="U18" s="12"/>
      <c r="V18" s="12"/>
      <c r="W18" s="12"/>
      <c r="X18" s="12"/>
      <c r="Y18" s="12"/>
      <c r="Z18" s="12"/>
      <c r="AA18" s="12"/>
      <c r="AB18" s="12"/>
      <c r="AC18" s="12"/>
      <c r="AD18" s="12"/>
      <c r="AE18" s="12"/>
      <c r="AF18" s="12"/>
    </row>
    <row r="19" spans="1:32" ht="14" customHeight="1">
      <c r="A19" s="37"/>
      <c r="B19" s="37"/>
      <c r="C19" s="37"/>
      <c r="D19" s="51" t="s">
        <v>334</v>
      </c>
      <c r="E19" s="40"/>
      <c r="F19" s="40"/>
      <c r="G19" s="37"/>
      <c r="H19" s="37"/>
      <c r="I19" s="37"/>
      <c r="J19" s="37"/>
      <c r="K19" s="37"/>
      <c r="L19" s="37"/>
      <c r="M19" s="37"/>
      <c r="N19" s="37"/>
      <c r="O19" s="37"/>
      <c r="P19" s="37"/>
      <c r="Q19" s="37"/>
      <c r="R19" s="37"/>
      <c r="S19" s="37"/>
      <c r="T19" s="12"/>
      <c r="U19" s="12"/>
      <c r="V19" s="12"/>
      <c r="W19" s="12"/>
      <c r="X19" s="12"/>
      <c r="Y19" s="12"/>
      <c r="Z19" s="12"/>
      <c r="AA19" s="12"/>
      <c r="AB19" s="12"/>
      <c r="AC19" s="12"/>
      <c r="AD19" s="12"/>
      <c r="AE19" s="12"/>
      <c r="AF19" s="12"/>
    </row>
    <row r="20" spans="1:32" ht="14" customHeight="1">
      <c r="A20" s="37"/>
      <c r="B20" s="37"/>
      <c r="C20" s="37"/>
      <c r="D20" s="40" t="s">
        <v>257</v>
      </c>
      <c r="E20" s="40"/>
      <c r="F20" s="40"/>
      <c r="G20" s="37"/>
      <c r="H20" s="37"/>
      <c r="I20" s="37"/>
      <c r="J20" s="37"/>
      <c r="K20" s="37"/>
      <c r="L20" s="37"/>
      <c r="M20" s="37"/>
      <c r="N20" s="37"/>
      <c r="O20" s="37"/>
      <c r="P20" s="37"/>
      <c r="Q20" s="37"/>
      <c r="R20" s="37"/>
      <c r="S20" s="37"/>
      <c r="T20" s="12"/>
      <c r="U20" s="12"/>
      <c r="V20" s="12"/>
      <c r="W20" s="12"/>
      <c r="X20" s="12"/>
      <c r="Y20" s="12"/>
      <c r="Z20" s="12"/>
      <c r="AA20" s="12"/>
      <c r="AB20" s="12"/>
      <c r="AC20" s="12"/>
      <c r="AD20" s="12"/>
      <c r="AE20" s="12"/>
      <c r="AF20" s="12"/>
    </row>
    <row r="21" spans="1:32" ht="14" customHeight="1">
      <c r="A21" s="37"/>
      <c r="B21" s="37"/>
      <c r="C21" s="37"/>
      <c r="D21" s="51" t="s">
        <v>241</v>
      </c>
      <c r="E21" s="40"/>
      <c r="F21" s="40"/>
      <c r="G21" s="37"/>
      <c r="H21" s="37"/>
      <c r="I21" s="37"/>
      <c r="J21" s="37"/>
      <c r="K21" s="37"/>
      <c r="L21" s="37"/>
      <c r="M21" s="37"/>
      <c r="N21" s="37"/>
      <c r="O21" s="37"/>
      <c r="P21" s="37"/>
      <c r="Q21" s="37"/>
      <c r="R21" s="37"/>
      <c r="S21" s="37"/>
      <c r="T21" s="12"/>
      <c r="U21" s="12"/>
      <c r="V21" s="12"/>
      <c r="W21" s="12"/>
      <c r="X21" s="12"/>
      <c r="Y21" s="12"/>
      <c r="Z21" s="12"/>
      <c r="AA21" s="12"/>
      <c r="AB21" s="12"/>
      <c r="AC21" s="12"/>
      <c r="AD21" s="12"/>
      <c r="AE21" s="12"/>
      <c r="AF21" s="12"/>
    </row>
    <row r="22" spans="1:32" ht="14" customHeight="1">
      <c r="A22" s="37"/>
      <c r="B22" s="37"/>
      <c r="C22" s="37"/>
      <c r="D22" s="40"/>
      <c r="E22" s="40"/>
      <c r="F22" s="40"/>
      <c r="G22" s="37"/>
      <c r="H22" s="37"/>
      <c r="I22" s="37"/>
      <c r="J22" s="37"/>
      <c r="K22" s="37"/>
      <c r="L22" s="37"/>
      <c r="M22" s="37"/>
      <c r="N22" s="37"/>
      <c r="O22" s="37"/>
      <c r="P22" s="37"/>
      <c r="Q22" s="37"/>
      <c r="R22" s="37"/>
      <c r="S22" s="37"/>
      <c r="T22" s="12"/>
      <c r="U22" s="12"/>
      <c r="V22" s="12"/>
      <c r="W22" s="12"/>
      <c r="X22" s="12"/>
      <c r="Y22" s="12"/>
      <c r="Z22" s="12"/>
      <c r="AA22" s="12"/>
      <c r="AB22" s="12"/>
      <c r="AC22" s="12"/>
      <c r="AD22" s="12"/>
      <c r="AE22" s="12"/>
      <c r="AF22" s="12"/>
    </row>
    <row r="23" spans="1:32" ht="14" customHeight="1">
      <c r="A23" s="37"/>
      <c r="B23" s="37"/>
      <c r="C23" s="37"/>
      <c r="D23" s="52" t="s">
        <v>244</v>
      </c>
      <c r="E23" s="52" t="s">
        <v>286</v>
      </c>
      <c r="F23" s="37"/>
      <c r="G23" s="37"/>
      <c r="H23" s="37"/>
      <c r="I23" s="37"/>
      <c r="J23" s="37"/>
      <c r="K23" s="37"/>
      <c r="L23" s="37"/>
      <c r="M23" s="37"/>
      <c r="N23" s="37"/>
      <c r="O23" s="37"/>
      <c r="P23" s="37"/>
      <c r="Q23" s="37"/>
      <c r="R23" s="37"/>
      <c r="S23" s="37"/>
      <c r="T23" s="12"/>
      <c r="U23" s="12"/>
      <c r="V23" s="12"/>
      <c r="W23" s="12"/>
      <c r="X23" s="12"/>
      <c r="Y23" s="12"/>
      <c r="Z23" s="12"/>
      <c r="AA23" s="12"/>
      <c r="AB23" s="12"/>
      <c r="AC23" s="12"/>
      <c r="AD23" s="12"/>
      <c r="AE23" s="12"/>
      <c r="AF23" s="12"/>
    </row>
    <row r="24" spans="1:32" ht="14" customHeight="1">
      <c r="A24" s="37"/>
      <c r="B24" s="37"/>
      <c r="C24" s="37"/>
      <c r="D24" s="37"/>
      <c r="E24" s="53" t="s">
        <v>287</v>
      </c>
      <c r="F24" s="37"/>
      <c r="G24" s="37"/>
      <c r="H24" s="37"/>
      <c r="I24" s="37"/>
      <c r="J24" s="37"/>
      <c r="K24" s="37"/>
      <c r="L24" s="37"/>
      <c r="M24" s="37"/>
      <c r="N24" s="37"/>
      <c r="O24" s="37"/>
      <c r="P24" s="37"/>
      <c r="Q24" s="37"/>
      <c r="R24" s="37"/>
      <c r="S24" s="37"/>
      <c r="T24" s="12"/>
      <c r="U24" s="12"/>
      <c r="V24" s="12"/>
      <c r="W24" s="12"/>
      <c r="X24" s="12"/>
      <c r="Y24" s="12"/>
      <c r="Z24" s="12"/>
      <c r="AA24" s="12"/>
      <c r="AB24" s="12"/>
      <c r="AC24" s="12"/>
      <c r="AD24" s="12"/>
      <c r="AE24" s="12"/>
      <c r="AF24" s="12"/>
    </row>
    <row r="25" spans="1:32" ht="14" customHeight="1">
      <c r="A25" s="37"/>
      <c r="B25" s="37"/>
      <c r="C25" s="37"/>
      <c r="D25" s="37"/>
      <c r="E25" s="53" t="s">
        <v>289</v>
      </c>
      <c r="F25" s="37"/>
      <c r="G25" s="37"/>
      <c r="H25" s="37"/>
      <c r="I25" s="37"/>
      <c r="J25" s="37"/>
      <c r="K25" s="37"/>
      <c r="L25" s="37"/>
      <c r="M25" s="37"/>
      <c r="N25" s="37"/>
      <c r="O25" s="37"/>
      <c r="P25" s="37"/>
      <c r="Q25" s="37"/>
      <c r="R25" s="37"/>
      <c r="S25" s="37"/>
      <c r="T25" s="12"/>
      <c r="U25" s="12"/>
      <c r="V25" s="12"/>
      <c r="W25" s="12"/>
      <c r="X25" s="12"/>
      <c r="Y25" s="12"/>
      <c r="Z25" s="12"/>
      <c r="AA25" s="12"/>
      <c r="AB25" s="12"/>
      <c r="AC25" s="12"/>
      <c r="AD25" s="12"/>
      <c r="AE25" s="12"/>
      <c r="AF25" s="12"/>
    </row>
    <row r="26" spans="1:32" ht="14" customHeight="1">
      <c r="A26" s="37"/>
      <c r="B26" s="37"/>
      <c r="C26" s="37"/>
      <c r="D26" s="37"/>
      <c r="E26" s="53" t="s">
        <v>291</v>
      </c>
      <c r="F26" s="37"/>
      <c r="G26" s="37"/>
      <c r="H26" s="37"/>
      <c r="I26" s="37"/>
      <c r="J26" s="37"/>
      <c r="K26" s="37"/>
      <c r="L26" s="37"/>
      <c r="M26" s="37"/>
      <c r="N26" s="37"/>
      <c r="O26" s="37"/>
      <c r="P26" s="37"/>
      <c r="Q26" s="37"/>
      <c r="R26" s="37"/>
      <c r="S26" s="37"/>
      <c r="T26" s="12"/>
      <c r="U26" s="12"/>
      <c r="V26" s="12"/>
      <c r="W26" s="12"/>
      <c r="X26" s="12"/>
      <c r="Y26" s="12"/>
      <c r="Z26" s="12"/>
      <c r="AA26" s="12"/>
      <c r="AB26" s="12"/>
      <c r="AC26" s="12"/>
      <c r="AD26" s="12"/>
      <c r="AE26" s="12"/>
      <c r="AF26" s="12"/>
    </row>
    <row r="27" spans="1:32" ht="14" customHeight="1">
      <c r="A27" s="37"/>
      <c r="B27" s="37"/>
      <c r="C27" s="37"/>
      <c r="D27" s="37"/>
      <c r="E27" s="53" t="s">
        <v>293</v>
      </c>
      <c r="F27" s="37"/>
      <c r="G27" s="37"/>
      <c r="H27" s="37"/>
      <c r="I27" s="37"/>
      <c r="J27" s="37"/>
      <c r="K27" s="37"/>
      <c r="L27" s="37"/>
      <c r="M27" s="37"/>
      <c r="N27" s="37"/>
      <c r="O27" s="37"/>
      <c r="P27" s="37"/>
      <c r="Q27" s="37"/>
      <c r="R27" s="37"/>
      <c r="S27" s="37"/>
      <c r="T27" s="12"/>
      <c r="U27" s="12"/>
      <c r="V27" s="12"/>
      <c r="W27" s="12"/>
      <c r="X27" s="12"/>
      <c r="Y27" s="12"/>
      <c r="Z27" s="12"/>
      <c r="AA27" s="12"/>
      <c r="AB27" s="12"/>
      <c r="AC27" s="12"/>
      <c r="AD27" s="12"/>
      <c r="AE27" s="12"/>
      <c r="AF27" s="12"/>
    </row>
    <row r="28" spans="1:32" ht="14" customHeight="1">
      <c r="A28" s="37"/>
      <c r="B28" s="37"/>
      <c r="C28" s="37"/>
      <c r="D28" s="37"/>
      <c r="E28" s="53" t="s">
        <v>294</v>
      </c>
      <c r="F28" s="37"/>
      <c r="G28" s="37"/>
      <c r="H28" s="37"/>
      <c r="I28" s="37"/>
      <c r="J28" s="37"/>
      <c r="K28" s="37"/>
      <c r="L28" s="37"/>
      <c r="M28" s="37"/>
      <c r="N28" s="37"/>
      <c r="O28" s="37"/>
      <c r="P28" s="37"/>
      <c r="Q28" s="37"/>
      <c r="R28" s="37"/>
      <c r="S28" s="37"/>
      <c r="T28" s="12"/>
      <c r="U28" s="12"/>
      <c r="V28" s="12"/>
      <c r="W28" s="12"/>
      <c r="X28" s="12"/>
      <c r="Y28" s="12"/>
      <c r="Z28" s="12"/>
      <c r="AA28" s="12"/>
      <c r="AB28" s="12"/>
      <c r="AC28" s="12"/>
      <c r="AD28" s="12"/>
      <c r="AE28" s="12"/>
      <c r="AF28" s="12"/>
    </row>
    <row r="29" spans="1:32" ht="14" customHeight="1">
      <c r="A29" s="37"/>
      <c r="B29" s="37"/>
      <c r="C29" s="37"/>
      <c r="D29" s="37"/>
      <c r="E29" s="67" t="s">
        <v>296</v>
      </c>
      <c r="F29" s="37"/>
      <c r="G29" s="37"/>
      <c r="H29" s="37"/>
      <c r="I29" s="37"/>
      <c r="J29" s="37"/>
      <c r="K29" s="37"/>
      <c r="L29" s="37"/>
      <c r="M29" s="37"/>
      <c r="N29" s="37"/>
      <c r="O29" s="37"/>
      <c r="P29" s="37"/>
      <c r="Q29" s="37"/>
      <c r="R29" s="37"/>
      <c r="S29" s="37"/>
      <c r="T29" s="12"/>
      <c r="U29" s="12"/>
      <c r="V29" s="12"/>
      <c r="W29" s="12"/>
      <c r="X29" s="12"/>
      <c r="Y29" s="12"/>
      <c r="Z29" s="12"/>
      <c r="AA29" s="12"/>
      <c r="AB29" s="12"/>
      <c r="AC29" s="12"/>
      <c r="AD29" s="12"/>
      <c r="AE29" s="12"/>
      <c r="AF29" s="12"/>
    </row>
    <row r="30" spans="1:32" ht="14" customHeight="1">
      <c r="A30" s="37"/>
      <c r="B30" s="37"/>
      <c r="C30" s="37"/>
      <c r="D30" s="37"/>
      <c r="E30" s="67"/>
      <c r="F30" s="37"/>
      <c r="G30" s="37"/>
      <c r="H30" s="37"/>
      <c r="I30" s="37"/>
      <c r="J30" s="37"/>
      <c r="K30" s="37"/>
      <c r="L30" s="37"/>
      <c r="M30" s="37"/>
      <c r="N30" s="37"/>
      <c r="O30" s="37"/>
      <c r="P30" s="37"/>
      <c r="Q30" s="37"/>
      <c r="R30" s="37"/>
      <c r="S30" s="37"/>
      <c r="T30" s="12"/>
      <c r="U30" s="12"/>
      <c r="V30" s="12"/>
      <c r="W30" s="12"/>
      <c r="X30" s="12"/>
      <c r="Y30" s="12"/>
      <c r="Z30" s="12"/>
      <c r="AA30" s="12"/>
      <c r="AB30" s="12"/>
      <c r="AC30" s="12"/>
      <c r="AD30" s="12"/>
      <c r="AE30" s="12"/>
      <c r="AF30" s="12"/>
    </row>
    <row r="31" spans="1:32" ht="14" customHeight="1">
      <c r="A31" s="37"/>
      <c r="B31" s="37"/>
      <c r="C31" s="37"/>
      <c r="D31" s="37"/>
      <c r="E31" s="52"/>
      <c r="F31" s="37"/>
      <c r="G31" s="37"/>
      <c r="H31" s="37"/>
      <c r="I31" s="37"/>
      <c r="J31" s="37"/>
      <c r="K31" s="37"/>
      <c r="L31" s="37"/>
      <c r="M31" s="37"/>
      <c r="N31" s="37"/>
      <c r="O31" s="37"/>
      <c r="P31" s="37"/>
      <c r="Q31" s="37"/>
      <c r="R31" s="37"/>
      <c r="S31" s="37"/>
      <c r="T31" s="12"/>
      <c r="U31" s="12"/>
      <c r="V31" s="12"/>
      <c r="W31" s="12"/>
      <c r="X31" s="12"/>
      <c r="Y31" s="12"/>
      <c r="Z31" s="12"/>
      <c r="AA31" s="12"/>
      <c r="AB31" s="12"/>
      <c r="AC31" s="12"/>
      <c r="AD31" s="12"/>
      <c r="AE31" s="12"/>
      <c r="AF31" s="12"/>
    </row>
    <row r="32" spans="1:32" ht="14"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ht="14" customHeight="1"/>
  </sheetData>
  <mergeCells count="1">
    <mergeCell ref="E29:E30"/>
  </mergeCells>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N40"/>
  <sheetViews>
    <sheetView view="pageLayout" workbookViewId="0">
      <selection activeCell="E44" sqref="E44"/>
    </sheetView>
  </sheetViews>
  <sheetFormatPr baseColWidth="10" defaultRowHeight="14"/>
  <cols>
    <col min="4" max="4" width="13" customWidth="1"/>
    <col min="5" max="5" width="32.5" customWidth="1"/>
  </cols>
  <sheetData>
    <row r="1" spans="1:40" ht="14" customHeight="1">
      <c r="A1" s="52" t="s">
        <v>258</v>
      </c>
      <c r="B1" s="52"/>
      <c r="C1" s="52"/>
      <c r="D1" s="35" t="s">
        <v>259</v>
      </c>
      <c r="E1" s="35" t="s">
        <v>260</v>
      </c>
      <c r="F1" s="35" t="s">
        <v>261</v>
      </c>
      <c r="G1" s="35" t="s">
        <v>262</v>
      </c>
      <c r="H1" s="35" t="s">
        <v>263</v>
      </c>
      <c r="I1" s="35" t="s">
        <v>264</v>
      </c>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ht="14" customHeight="1">
      <c r="A2" s="53" t="s">
        <v>285</v>
      </c>
      <c r="B2" s="52">
        <v>5</v>
      </c>
      <c r="C2" s="52"/>
      <c r="D2" s="36" t="s">
        <v>319</v>
      </c>
      <c r="E2" s="36" t="s">
        <v>328</v>
      </c>
      <c r="F2" s="59" t="s">
        <v>326</v>
      </c>
      <c r="G2" s="57" t="s">
        <v>320</v>
      </c>
      <c r="H2" s="60" t="s">
        <v>327</v>
      </c>
      <c r="I2" s="57" t="s">
        <v>321</v>
      </c>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row>
    <row r="3" spans="1:40" ht="14" customHeight="1">
      <c r="A3" s="53" t="s">
        <v>245</v>
      </c>
      <c r="B3" s="52">
        <v>2</v>
      </c>
      <c r="C3" s="53"/>
      <c r="D3" s="61" t="s">
        <v>322</v>
      </c>
      <c r="E3" s="62" t="s">
        <v>329</v>
      </c>
      <c r="F3" s="59" t="s">
        <v>326</v>
      </c>
      <c r="G3" s="57" t="s">
        <v>323</v>
      </c>
      <c r="H3" s="57" t="s">
        <v>324</v>
      </c>
      <c r="I3" s="57" t="s">
        <v>303</v>
      </c>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row>
    <row r="4" spans="1:40" ht="14" customHeight="1">
      <c r="A4" s="53" t="s">
        <v>288</v>
      </c>
      <c r="B4" s="52">
        <v>2</v>
      </c>
      <c r="C4" s="53"/>
      <c r="D4" s="61" t="s">
        <v>304</v>
      </c>
      <c r="E4" s="62" t="s">
        <v>330</v>
      </c>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row>
    <row r="5" spans="1:40" ht="14" customHeight="1">
      <c r="A5" s="53" t="s">
        <v>290</v>
      </c>
      <c r="B5" s="52">
        <v>2</v>
      </c>
      <c r="C5" s="53"/>
      <c r="D5" s="61" t="s">
        <v>305</v>
      </c>
      <c r="E5" s="36" t="s">
        <v>312</v>
      </c>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row>
    <row r="6" spans="1:40" ht="14" customHeight="1">
      <c r="A6" s="53" t="s">
        <v>292</v>
      </c>
      <c r="B6" s="52">
        <v>0.5</v>
      </c>
      <c r="C6" s="53"/>
      <c r="D6" s="36" t="s">
        <v>313</v>
      </c>
      <c r="E6" s="36" t="s">
        <v>314</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row>
    <row r="7" spans="1:40" ht="14" customHeight="1">
      <c r="A7" s="53" t="s">
        <v>246</v>
      </c>
      <c r="B7" s="52">
        <v>11.95</v>
      </c>
      <c r="C7" s="53"/>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row>
    <row r="8" spans="1:40" ht="14" customHeight="1">
      <c r="A8" s="53" t="s">
        <v>295</v>
      </c>
      <c r="B8" s="52">
        <v>0.3</v>
      </c>
      <c r="C8" s="58"/>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row>
    <row r="9" spans="1:40" ht="14" customHeight="1">
      <c r="A9" s="53" t="s">
        <v>59</v>
      </c>
      <c r="B9" s="52">
        <v>1.25</v>
      </c>
      <c r="C9" s="58"/>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row>
    <row r="10" spans="1:40" ht="14" customHeight="1">
      <c r="A10" s="37"/>
      <c r="B10" s="37"/>
      <c r="C10" s="37"/>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row>
    <row r="11" spans="1:40" ht="14" customHeight="1">
      <c r="A11" s="37"/>
      <c r="B11" s="37"/>
      <c r="C11" s="37"/>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row>
    <row r="12" spans="1:40" ht="14" customHeight="1">
      <c r="A12" s="37"/>
      <c r="B12" s="37"/>
      <c r="C12" s="37"/>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row>
    <row r="13" spans="1:40" ht="14" customHeight="1">
      <c r="A13" s="37"/>
      <c r="B13" s="37"/>
      <c r="C13" s="37"/>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row>
    <row r="14" spans="1:40" ht="14"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spans="1:40" ht="14"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row>
    <row r="16" spans="1:40" ht="14"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row>
    <row r="17" spans="1:40" ht="14" customHeight="1">
      <c r="A17" s="37"/>
      <c r="B17" s="37"/>
      <c r="C17" s="37"/>
      <c r="D17" s="12"/>
      <c r="E17" s="63"/>
      <c r="F17" s="40"/>
      <c r="G17" s="37"/>
      <c r="H17" s="37"/>
      <c r="I17" s="37"/>
      <c r="J17" s="37"/>
      <c r="K17" s="37"/>
      <c r="L17" s="37"/>
      <c r="M17" s="37"/>
      <c r="N17" s="37"/>
      <c r="O17" s="37"/>
      <c r="P17" s="37"/>
      <c r="Q17" s="37"/>
      <c r="R17" s="37"/>
      <c r="S17" s="37"/>
      <c r="T17" s="12"/>
      <c r="U17" s="12"/>
      <c r="V17" s="12"/>
      <c r="W17" s="12"/>
      <c r="X17" s="12"/>
      <c r="Y17" s="12"/>
      <c r="Z17" s="12"/>
      <c r="AA17" s="12"/>
      <c r="AB17" s="12"/>
      <c r="AC17" s="12"/>
      <c r="AD17" s="12"/>
      <c r="AE17" s="12"/>
      <c r="AF17" s="12"/>
      <c r="AG17" s="12"/>
      <c r="AH17" s="12"/>
      <c r="AI17" s="12"/>
      <c r="AJ17" s="12"/>
      <c r="AK17" s="12"/>
      <c r="AL17" s="12"/>
      <c r="AM17" s="12"/>
      <c r="AN17" s="12"/>
    </row>
    <row r="18" spans="1:40" ht="14" customHeight="1">
      <c r="A18" s="37"/>
      <c r="B18" s="37"/>
      <c r="C18" s="37"/>
      <c r="D18" s="12"/>
      <c r="E18" s="63"/>
      <c r="F18" s="40"/>
      <c r="G18" s="37"/>
      <c r="H18" s="37"/>
      <c r="I18" s="37"/>
      <c r="J18" s="37"/>
      <c r="K18" s="37"/>
      <c r="L18" s="37"/>
      <c r="M18" s="37"/>
      <c r="N18" s="37"/>
      <c r="O18" s="37"/>
      <c r="P18" s="37"/>
      <c r="Q18" s="37"/>
      <c r="R18" s="37"/>
      <c r="S18" s="37"/>
      <c r="T18" s="12"/>
      <c r="U18" s="12"/>
      <c r="V18" s="12"/>
      <c r="W18" s="12"/>
      <c r="X18" s="12"/>
      <c r="Y18" s="12"/>
      <c r="Z18" s="12"/>
      <c r="AA18" s="12"/>
      <c r="AB18" s="12"/>
      <c r="AC18" s="12"/>
      <c r="AD18" s="12"/>
      <c r="AE18" s="12"/>
      <c r="AF18" s="12"/>
      <c r="AG18" s="12"/>
      <c r="AH18" s="12"/>
      <c r="AI18" s="12"/>
      <c r="AJ18" s="12"/>
      <c r="AK18" s="12"/>
      <c r="AL18" s="12"/>
      <c r="AM18" s="12"/>
      <c r="AN18" s="12"/>
    </row>
    <row r="19" spans="1:40" ht="14" customHeight="1">
      <c r="A19" s="37"/>
      <c r="B19" s="37"/>
      <c r="C19" s="37"/>
      <c r="D19" s="64" t="s">
        <v>306</v>
      </c>
      <c r="E19" s="63"/>
      <c r="F19" s="40"/>
      <c r="G19" s="37"/>
      <c r="H19" s="37"/>
      <c r="I19" s="37"/>
      <c r="J19" s="37"/>
      <c r="K19" s="37"/>
      <c r="L19" s="37"/>
      <c r="M19" s="37"/>
      <c r="N19" s="37"/>
      <c r="O19" s="37"/>
      <c r="P19" s="37"/>
      <c r="Q19" s="37"/>
      <c r="R19" s="37"/>
      <c r="S19" s="37"/>
      <c r="T19" s="12"/>
      <c r="U19" s="12"/>
      <c r="V19" s="12"/>
      <c r="W19" s="12"/>
      <c r="X19" s="12"/>
      <c r="Y19" s="12"/>
      <c r="Z19" s="12"/>
      <c r="AA19" s="12"/>
      <c r="AB19" s="12"/>
      <c r="AC19" s="12"/>
      <c r="AD19" s="12"/>
      <c r="AE19" s="12"/>
      <c r="AF19" s="12"/>
      <c r="AG19" s="12"/>
      <c r="AH19" s="12"/>
      <c r="AI19" s="12"/>
      <c r="AJ19" s="12"/>
      <c r="AK19" s="12"/>
      <c r="AL19" s="12"/>
      <c r="AM19" s="12"/>
      <c r="AN19" s="12"/>
    </row>
    <row r="20" spans="1:40" ht="14" customHeight="1">
      <c r="A20" s="37"/>
      <c r="B20" s="37"/>
      <c r="C20" s="37"/>
      <c r="D20" s="63" t="s">
        <v>307</v>
      </c>
      <c r="E20" s="40"/>
      <c r="F20" s="40"/>
      <c r="G20" s="37"/>
      <c r="H20" s="37"/>
      <c r="I20" s="37"/>
      <c r="J20" s="37"/>
      <c r="K20" s="37"/>
      <c r="L20" s="37"/>
      <c r="M20" s="37"/>
      <c r="N20" s="37"/>
      <c r="O20" s="37"/>
      <c r="P20" s="37"/>
      <c r="Q20" s="37"/>
      <c r="R20" s="37"/>
      <c r="S20" s="37"/>
      <c r="T20" s="12"/>
      <c r="U20" s="12"/>
      <c r="V20" s="12"/>
      <c r="W20" s="12"/>
      <c r="X20" s="12"/>
      <c r="Y20" s="12"/>
      <c r="Z20" s="12"/>
      <c r="AA20" s="12"/>
      <c r="AB20" s="12"/>
      <c r="AC20" s="12"/>
      <c r="AD20" s="12"/>
      <c r="AE20" s="12"/>
      <c r="AF20" s="12"/>
      <c r="AG20" s="12"/>
      <c r="AH20" s="12"/>
      <c r="AI20" s="12"/>
      <c r="AJ20" s="12"/>
      <c r="AK20" s="12"/>
      <c r="AL20" s="12"/>
      <c r="AM20" s="12"/>
      <c r="AN20" s="12"/>
    </row>
    <row r="21" spans="1:40" ht="14" customHeight="1">
      <c r="A21" s="37"/>
      <c r="B21" s="37"/>
      <c r="C21" s="37"/>
      <c r="D21" s="63" t="s">
        <v>308</v>
      </c>
      <c r="E21" s="40"/>
      <c r="F21" s="40"/>
      <c r="G21" s="37"/>
      <c r="H21" s="37"/>
      <c r="I21" s="37"/>
      <c r="J21" s="37"/>
      <c r="K21" s="37"/>
      <c r="L21" s="37"/>
      <c r="M21" s="37"/>
      <c r="N21" s="37"/>
      <c r="O21" s="37"/>
      <c r="P21" s="37"/>
      <c r="Q21" s="37"/>
      <c r="R21" s="37"/>
      <c r="S21" s="37"/>
      <c r="T21" s="12"/>
      <c r="U21" s="12"/>
      <c r="V21" s="12"/>
      <c r="W21" s="12"/>
      <c r="X21" s="12"/>
      <c r="Y21" s="12"/>
      <c r="Z21" s="12"/>
      <c r="AA21" s="12"/>
      <c r="AB21" s="12"/>
      <c r="AC21" s="12"/>
      <c r="AD21" s="12"/>
      <c r="AE21" s="12"/>
      <c r="AF21" s="12"/>
      <c r="AG21" s="12"/>
      <c r="AH21" s="12"/>
      <c r="AI21" s="12"/>
      <c r="AJ21" s="12"/>
      <c r="AK21" s="12"/>
      <c r="AL21" s="12"/>
      <c r="AM21" s="12"/>
      <c r="AN21" s="12"/>
    </row>
    <row r="22" spans="1:40" ht="14" customHeight="1">
      <c r="A22" s="37"/>
      <c r="B22" s="37"/>
      <c r="C22" s="37"/>
      <c r="D22" s="40"/>
      <c r="E22" s="40"/>
      <c r="F22" s="40"/>
      <c r="G22" s="37"/>
      <c r="H22" s="37"/>
      <c r="I22" s="37"/>
      <c r="J22" s="37"/>
      <c r="K22" s="37"/>
      <c r="L22" s="37"/>
      <c r="M22" s="37"/>
      <c r="N22" s="37"/>
      <c r="O22" s="37"/>
      <c r="P22" s="37"/>
      <c r="Q22" s="37"/>
      <c r="R22" s="37"/>
      <c r="S22" s="37"/>
      <c r="T22" s="12"/>
      <c r="U22" s="12"/>
      <c r="V22" s="12"/>
      <c r="W22" s="12"/>
      <c r="X22" s="12"/>
      <c r="Y22" s="12"/>
      <c r="Z22" s="12"/>
      <c r="AA22" s="12"/>
      <c r="AB22" s="12"/>
      <c r="AC22" s="12"/>
      <c r="AD22" s="12"/>
      <c r="AE22" s="12"/>
      <c r="AF22" s="12"/>
      <c r="AG22" s="12"/>
      <c r="AH22" s="12"/>
      <c r="AI22" s="12"/>
      <c r="AJ22" s="12"/>
      <c r="AK22" s="12"/>
      <c r="AL22" s="12"/>
      <c r="AM22" s="12"/>
      <c r="AN22" s="12"/>
    </row>
    <row r="23" spans="1:40" ht="14" customHeight="1">
      <c r="A23" s="37"/>
      <c r="B23" s="37"/>
      <c r="C23" s="37"/>
      <c r="D23" s="52" t="s">
        <v>309</v>
      </c>
      <c r="E23" s="52" t="s">
        <v>310</v>
      </c>
      <c r="F23" s="37"/>
      <c r="G23" s="37"/>
      <c r="H23" s="37"/>
      <c r="I23" s="37"/>
      <c r="J23" s="37"/>
      <c r="K23" s="37"/>
      <c r="L23" s="37"/>
      <c r="M23" s="37"/>
      <c r="N23" s="37"/>
      <c r="O23" s="37"/>
      <c r="P23" s="37"/>
      <c r="Q23" s="37"/>
      <c r="R23" s="37"/>
      <c r="S23" s="37"/>
      <c r="T23" s="12"/>
      <c r="U23" s="12"/>
      <c r="V23" s="12"/>
      <c r="W23" s="12"/>
      <c r="X23" s="12"/>
      <c r="Y23" s="12"/>
      <c r="Z23" s="12"/>
      <c r="AA23" s="12"/>
      <c r="AB23" s="12"/>
      <c r="AC23" s="12"/>
      <c r="AD23" s="12"/>
      <c r="AE23" s="12"/>
      <c r="AF23" s="12"/>
      <c r="AG23" s="12"/>
      <c r="AH23" s="12"/>
      <c r="AI23" s="12"/>
      <c r="AJ23" s="12"/>
      <c r="AK23" s="12"/>
      <c r="AL23" s="12"/>
      <c r="AM23" s="12"/>
      <c r="AN23" s="12"/>
    </row>
    <row r="24" spans="1:40" ht="14" customHeight="1">
      <c r="A24" s="37"/>
      <c r="B24" s="37"/>
      <c r="C24" s="37"/>
      <c r="D24" s="37"/>
      <c r="E24" s="53" t="s">
        <v>315</v>
      </c>
      <c r="F24" s="37"/>
      <c r="G24" s="37"/>
      <c r="H24" s="37"/>
      <c r="I24" s="37"/>
      <c r="J24" s="37"/>
      <c r="K24" s="37"/>
      <c r="L24" s="37"/>
      <c r="M24" s="37"/>
      <c r="N24" s="37"/>
      <c r="O24" s="37"/>
      <c r="P24" s="37"/>
      <c r="Q24" s="37"/>
      <c r="R24" s="37"/>
      <c r="S24" s="37"/>
      <c r="T24" s="12"/>
      <c r="U24" s="12"/>
      <c r="V24" s="12"/>
      <c r="W24" s="12"/>
      <c r="X24" s="12"/>
      <c r="Y24" s="12"/>
      <c r="Z24" s="12"/>
      <c r="AA24" s="12"/>
      <c r="AB24" s="12"/>
      <c r="AC24" s="12"/>
      <c r="AD24" s="12"/>
      <c r="AE24" s="12"/>
      <c r="AF24" s="12"/>
      <c r="AG24" s="12"/>
      <c r="AH24" s="12"/>
      <c r="AI24" s="12"/>
      <c r="AJ24" s="12"/>
      <c r="AK24" s="12"/>
      <c r="AL24" s="12"/>
      <c r="AM24" s="12"/>
      <c r="AN24" s="12"/>
    </row>
    <row r="25" spans="1:40" ht="14" customHeight="1">
      <c r="A25" s="37"/>
      <c r="B25" s="37"/>
      <c r="C25" s="37"/>
      <c r="D25" s="37"/>
      <c r="E25" s="53" t="s">
        <v>316</v>
      </c>
      <c r="F25" s="37"/>
      <c r="G25" s="37"/>
      <c r="H25" s="37"/>
      <c r="I25" s="37"/>
      <c r="J25" s="37"/>
      <c r="K25" s="37"/>
      <c r="L25" s="37"/>
      <c r="M25" s="37"/>
      <c r="N25" s="37"/>
      <c r="O25" s="37"/>
      <c r="P25" s="37"/>
      <c r="Q25" s="37"/>
      <c r="R25" s="37"/>
      <c r="S25" s="37"/>
      <c r="T25" s="12"/>
      <c r="U25" s="12"/>
      <c r="V25" s="12"/>
      <c r="W25" s="12"/>
      <c r="X25" s="12"/>
      <c r="Y25" s="12"/>
      <c r="Z25" s="12"/>
      <c r="AA25" s="12"/>
      <c r="AB25" s="12"/>
      <c r="AC25" s="12"/>
      <c r="AD25" s="12"/>
      <c r="AE25" s="12"/>
      <c r="AF25" s="12"/>
      <c r="AG25" s="12"/>
      <c r="AH25" s="12"/>
      <c r="AI25" s="12"/>
      <c r="AJ25" s="12"/>
      <c r="AK25" s="12"/>
      <c r="AL25" s="12"/>
      <c r="AM25" s="12"/>
      <c r="AN25" s="12"/>
    </row>
    <row r="26" spans="1:40" ht="14" customHeight="1">
      <c r="A26" s="37"/>
      <c r="B26" s="37"/>
      <c r="C26" s="37"/>
      <c r="D26" s="37"/>
      <c r="E26" s="53" t="s">
        <v>317</v>
      </c>
      <c r="F26" s="37"/>
      <c r="G26" s="37"/>
      <c r="H26" s="37"/>
      <c r="I26" s="37"/>
      <c r="J26" s="37"/>
      <c r="K26" s="37"/>
      <c r="L26" s="37"/>
      <c r="M26" s="37"/>
      <c r="N26" s="37"/>
      <c r="O26" s="37"/>
      <c r="P26" s="37"/>
      <c r="Q26" s="37"/>
      <c r="R26" s="37"/>
      <c r="S26" s="37"/>
      <c r="T26" s="12"/>
      <c r="U26" s="12"/>
      <c r="V26" s="12"/>
      <c r="W26" s="12"/>
      <c r="X26" s="12"/>
      <c r="Y26" s="12"/>
      <c r="Z26" s="12"/>
      <c r="AA26" s="12"/>
      <c r="AB26" s="12"/>
      <c r="AC26" s="12"/>
      <c r="AD26" s="12"/>
      <c r="AE26" s="12"/>
      <c r="AF26" s="12"/>
      <c r="AG26" s="12"/>
      <c r="AH26" s="12"/>
      <c r="AI26" s="12"/>
      <c r="AJ26" s="12"/>
      <c r="AK26" s="12"/>
      <c r="AL26" s="12"/>
      <c r="AM26" s="12"/>
      <c r="AN26" s="12"/>
    </row>
    <row r="27" spans="1:40" ht="14" customHeight="1">
      <c r="A27" s="37"/>
      <c r="B27" s="37"/>
      <c r="C27" s="37"/>
      <c r="D27" s="37"/>
      <c r="E27" s="53" t="s">
        <v>293</v>
      </c>
      <c r="F27" s="37"/>
      <c r="G27" s="37"/>
      <c r="H27" s="37"/>
      <c r="I27" s="37"/>
      <c r="J27" s="37"/>
      <c r="K27" s="37"/>
      <c r="L27" s="37"/>
      <c r="M27" s="37"/>
      <c r="N27" s="37"/>
      <c r="O27" s="37"/>
      <c r="P27" s="37"/>
      <c r="Q27" s="37"/>
      <c r="R27" s="37"/>
      <c r="S27" s="37"/>
      <c r="T27" s="12"/>
      <c r="U27" s="12"/>
      <c r="V27" s="12"/>
      <c r="W27" s="12"/>
      <c r="X27" s="12"/>
      <c r="Y27" s="12"/>
      <c r="Z27" s="12"/>
      <c r="AA27" s="12"/>
      <c r="AB27" s="12"/>
      <c r="AC27" s="12"/>
      <c r="AD27" s="12"/>
      <c r="AE27" s="12"/>
      <c r="AF27" s="12"/>
      <c r="AG27" s="12"/>
      <c r="AH27" s="12"/>
      <c r="AI27" s="12"/>
      <c r="AJ27" s="12"/>
      <c r="AK27" s="12"/>
      <c r="AL27" s="12"/>
      <c r="AM27" s="12"/>
      <c r="AN27" s="12"/>
    </row>
    <row r="28" spans="1:40" ht="14" customHeight="1">
      <c r="A28" s="37"/>
      <c r="B28" s="37"/>
      <c r="C28" s="37"/>
      <c r="D28" s="37"/>
      <c r="E28" s="53" t="s">
        <v>311</v>
      </c>
      <c r="F28" s="37"/>
      <c r="G28" s="37"/>
      <c r="H28" s="37"/>
      <c r="I28" s="37"/>
      <c r="J28" s="37"/>
      <c r="K28" s="37"/>
      <c r="L28" s="37"/>
      <c r="M28" s="37"/>
      <c r="N28" s="37"/>
      <c r="O28" s="37"/>
      <c r="P28" s="37"/>
      <c r="Q28" s="37"/>
      <c r="R28" s="37"/>
      <c r="S28" s="37"/>
      <c r="T28" s="12"/>
      <c r="U28" s="12"/>
      <c r="V28" s="12"/>
      <c r="W28" s="12"/>
      <c r="X28" s="12"/>
      <c r="Y28" s="12"/>
      <c r="Z28" s="12"/>
      <c r="AA28" s="12"/>
      <c r="AB28" s="12"/>
      <c r="AC28" s="12"/>
      <c r="AD28" s="12"/>
      <c r="AE28" s="12"/>
      <c r="AF28" s="12"/>
      <c r="AG28" s="12"/>
      <c r="AH28" s="12"/>
      <c r="AI28" s="12"/>
      <c r="AJ28" s="12"/>
      <c r="AK28" s="12"/>
      <c r="AL28" s="12"/>
      <c r="AM28" s="12"/>
      <c r="AN28" s="12"/>
    </row>
    <row r="29" spans="1:40" ht="14" customHeight="1">
      <c r="A29" s="37"/>
      <c r="B29" s="37"/>
      <c r="C29" s="37"/>
      <c r="D29" s="37"/>
      <c r="E29" s="67" t="s">
        <v>318</v>
      </c>
      <c r="F29" s="37"/>
      <c r="G29" s="37"/>
      <c r="H29" s="37"/>
      <c r="I29" s="37"/>
      <c r="J29" s="37"/>
      <c r="K29" s="37"/>
      <c r="L29" s="37"/>
      <c r="M29" s="37"/>
      <c r="N29" s="37"/>
      <c r="O29" s="37"/>
      <c r="P29" s="37"/>
      <c r="Q29" s="37"/>
      <c r="R29" s="37"/>
      <c r="S29" s="37"/>
      <c r="T29" s="12"/>
      <c r="U29" s="12"/>
      <c r="V29" s="12"/>
      <c r="W29" s="12"/>
      <c r="X29" s="12"/>
      <c r="Y29" s="12"/>
      <c r="Z29" s="12"/>
      <c r="AA29" s="12"/>
      <c r="AB29" s="12"/>
      <c r="AC29" s="12"/>
      <c r="AD29" s="12"/>
      <c r="AE29" s="12"/>
      <c r="AF29" s="12"/>
      <c r="AG29" s="12"/>
      <c r="AH29" s="12"/>
      <c r="AI29" s="12"/>
      <c r="AJ29" s="12"/>
      <c r="AK29" s="12"/>
      <c r="AL29" s="12"/>
      <c r="AM29" s="12"/>
      <c r="AN29" s="12"/>
    </row>
    <row r="30" spans="1:40" ht="14" customHeight="1">
      <c r="A30" s="37"/>
      <c r="B30" s="37"/>
      <c r="C30" s="37"/>
      <c r="D30" s="37"/>
      <c r="E30" s="67"/>
      <c r="F30" s="37"/>
      <c r="G30" s="37"/>
      <c r="H30" s="37"/>
      <c r="I30" s="37"/>
      <c r="J30" s="37"/>
      <c r="K30" s="37"/>
      <c r="L30" s="37"/>
      <c r="M30" s="37"/>
      <c r="N30" s="37"/>
      <c r="O30" s="37"/>
      <c r="P30" s="37"/>
      <c r="Q30" s="37"/>
      <c r="R30" s="37"/>
      <c r="S30" s="37"/>
      <c r="T30" s="12"/>
      <c r="U30" s="12"/>
      <c r="V30" s="12"/>
      <c r="W30" s="12"/>
      <c r="X30" s="12"/>
      <c r="Y30" s="12"/>
      <c r="Z30" s="12"/>
      <c r="AA30" s="12"/>
      <c r="AB30" s="12"/>
      <c r="AC30" s="12"/>
      <c r="AD30" s="12"/>
      <c r="AE30" s="12"/>
      <c r="AF30" s="12"/>
      <c r="AG30" s="12"/>
      <c r="AH30" s="12"/>
      <c r="AI30" s="12"/>
      <c r="AJ30" s="12"/>
      <c r="AK30" s="12"/>
      <c r="AL30" s="12"/>
      <c r="AM30" s="12"/>
      <c r="AN30" s="12"/>
    </row>
    <row r="31" spans="1:40" ht="14" customHeight="1">
      <c r="A31" s="37"/>
      <c r="B31" s="37"/>
      <c r="C31" s="37"/>
      <c r="D31" s="37"/>
      <c r="E31" s="52"/>
      <c r="F31" s="37"/>
      <c r="G31" s="37"/>
      <c r="H31" s="37"/>
      <c r="I31" s="37"/>
      <c r="J31" s="37"/>
      <c r="K31" s="37"/>
      <c r="L31" s="37"/>
      <c r="M31" s="37"/>
      <c r="N31" s="37"/>
      <c r="O31" s="37"/>
      <c r="P31" s="37"/>
      <c r="Q31" s="37"/>
      <c r="R31" s="37"/>
      <c r="S31" s="37"/>
      <c r="T31" s="12"/>
      <c r="U31" s="12"/>
      <c r="V31" s="12"/>
      <c r="W31" s="12"/>
      <c r="X31" s="12"/>
      <c r="Y31" s="12"/>
      <c r="Z31" s="12"/>
      <c r="AA31" s="12"/>
      <c r="AB31" s="12"/>
      <c r="AC31" s="12"/>
      <c r="AD31" s="12"/>
      <c r="AE31" s="12"/>
      <c r="AF31" s="12"/>
      <c r="AG31" s="12"/>
      <c r="AH31" s="12"/>
      <c r="AI31" s="12"/>
      <c r="AJ31" s="12"/>
      <c r="AK31" s="12"/>
      <c r="AL31" s="12"/>
      <c r="AM31" s="12"/>
      <c r="AN31" s="12"/>
    </row>
    <row r="32" spans="1:40" ht="14"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row>
    <row r="33" spans="1:40" ht="14"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row>
    <row r="34" spans="1:40" ht="14"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row>
    <row r="35" spans="1:40" ht="14"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row>
    <row r="36" spans="1:40" ht="14"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row>
    <row r="37" spans="1:40" ht="14"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spans="1:40">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row>
    <row r="40" spans="1: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row>
  </sheetData>
  <mergeCells count="1">
    <mergeCell ref="E29:E30"/>
  </mergeCells>
  <phoneticPr fontId="6"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Id2flox</vt:lpstr>
      <vt:lpstr>Id2flox_op</vt:lpstr>
      <vt:lpstr>Id2flox Alt</vt:lpstr>
      <vt:lpstr>Id3flox Alt</vt:lpstr>
      <vt:lpstr>Id3flox</vt:lpstr>
      <vt:lpstr>P14</vt:lpstr>
      <vt:lpstr>Cre</vt:lpstr>
      <vt:lpstr>PLZF Cre</vt:lpstr>
      <vt:lpstr>dLCK Cre</vt:lpstr>
      <vt:lpstr>Cre Reporter</vt:lpstr>
      <vt:lpstr>FOXO1</vt:lpstr>
      <vt:lpstr>NKT (va14g)</vt:lpstr>
      <vt:lpstr>HEB KO</vt:lpstr>
      <vt:lpstr>HEBflox</vt:lpstr>
      <vt:lpstr>E2Aflox</vt:lpstr>
      <vt:lpstr>Zeb2flox</vt:lpstr>
      <vt:lpstr>Tbetflox</vt:lpstr>
      <vt:lpstr>OT-I</vt:lpstr>
      <vt:lpstr>Bhlhe40</vt:lpstr>
      <vt:lpstr>HIFVHL</vt:lpstr>
      <vt:lpstr>HIF2</vt:lpstr>
      <vt:lpstr>E2-2 Reporter</vt:lpstr>
      <vt:lpstr>E2-2 Conditional</vt:lpstr>
      <vt:lpstr>USP1</vt:lpstr>
      <vt:lpstr>ER cre</vt:lpstr>
      <vt:lpstr>FLP'd and un-FLP'd</vt:lpstr>
      <vt:lpstr>Cre-rearranged</vt:lpstr>
      <vt:lpstr>WT Id2-3</vt:lpstr>
      <vt:lpstr>VHL-flox</vt:lpstr>
      <vt:lpstr>Hif1a flox</vt:lpstr>
      <vt:lpstr>Hif2a flox</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Brandy</dc:creator>
  <cp:lastModifiedBy>Ananda Goldrath</cp:lastModifiedBy>
  <cp:lastPrinted>2014-07-16T17:41:45Z</cp:lastPrinted>
  <dcterms:created xsi:type="dcterms:W3CDTF">2013-07-25T17:18:58Z</dcterms:created>
  <dcterms:modified xsi:type="dcterms:W3CDTF">2017-06-16T17:43:07Z</dcterms:modified>
</cp:coreProperties>
</file>