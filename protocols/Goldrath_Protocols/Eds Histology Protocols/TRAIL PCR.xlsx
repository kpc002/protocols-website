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<sst xmlns="http://schemas.openxmlformats.org/spreadsheetml/2006/main" count="287" uniqueCount="72">
  <si>
    <t xml:space="preserve">FCgRIIko</t>
  </si>
  <si>
    <t xml:space="preserve">Component</t>
  </si>
  <si>
    <t xml:space="preserve">c(stock)</t>
  </si>
  <si>
    <t xml:space="preserve">c(end)</t>
  </si>
  <si>
    <r>
      <rPr>
        <sz val="8"/>
        <rFont val="Symbol"/>
        <family val="1"/>
      </rPr>
      <t xml:space="preserve">m</t>
    </r>
    <r>
      <rPr>
        <sz val="8"/>
        <rFont val="Arial"/>
        <family val="0"/>
      </rPr>
      <t xml:space="preserve">l/reaction</t>
    </r>
  </si>
  <si>
    <r>
      <rPr>
        <sz val="8"/>
        <rFont val="Symbol"/>
        <family val="1"/>
      </rPr>
      <t xml:space="preserve">m</t>
    </r>
    <r>
      <rPr>
        <sz val="8"/>
        <rFont val="Arial"/>
        <family val="0"/>
      </rPr>
      <t xml:space="preserve">l/ reactions</t>
    </r>
  </si>
  <si>
    <r>
      <rPr>
        <sz val="8"/>
        <rFont val="Arial"/>
        <family val="0"/>
      </rPr>
      <t xml:space="preserve">H</t>
    </r>
    <r>
      <rPr>
        <vertAlign val="subscript"/>
        <sz val="8"/>
        <rFont val="Arial"/>
        <family val="2"/>
      </rPr>
      <t xml:space="preserve">2</t>
    </r>
    <r>
      <rPr>
        <sz val="8"/>
        <rFont val="Arial"/>
        <family val="0"/>
      </rPr>
      <t xml:space="preserve">O</t>
    </r>
  </si>
  <si>
    <t xml:space="preserve">1.5 mM</t>
  </si>
  <si>
    <t xml:space="preserve">LTH1 </t>
  </si>
  <si>
    <t xml:space="preserve">RO55 X RO56</t>
  </si>
  <si>
    <t xml:space="preserve">PCR buffer</t>
  </si>
  <si>
    <t xml:space="preserve">5x</t>
  </si>
  <si>
    <t xml:space="preserve">1x</t>
  </si>
  <si>
    <t xml:space="preserve">1.5mM</t>
  </si>
  <si>
    <t xml:space="preserve">IL7RTG </t>
  </si>
  <si>
    <t xml:space="preserve">AG6 X XG106</t>
  </si>
  <si>
    <r>
      <rPr>
        <sz val="8"/>
        <rFont val="Arial"/>
        <family val="0"/>
      </rPr>
      <t xml:space="preserve">MgCl</t>
    </r>
    <r>
      <rPr>
        <vertAlign val="subscript"/>
        <sz val="8"/>
        <rFont val="Arial"/>
        <family val="2"/>
      </rPr>
      <t xml:space="preserve">2</t>
    </r>
  </si>
  <si>
    <t xml:space="preserve">15/30/45 mM</t>
  </si>
  <si>
    <t xml:space="preserve">1.5/3/4.5 mM</t>
  </si>
  <si>
    <t xml:space="preserve">srta</t>
  </si>
  <si>
    <t xml:space="preserve">RO83xRO84</t>
  </si>
  <si>
    <t xml:space="preserve">20 mM</t>
  </si>
  <si>
    <t xml:space="preserve">2 mM</t>
  </si>
  <si>
    <t xml:space="preserve">dNTPs</t>
  </si>
  <si>
    <t xml:space="preserve">10 mM</t>
  </si>
  <si>
    <t xml:space="preserve">0.2 mM</t>
  </si>
  <si>
    <t xml:space="preserve">E2A</t>
  </si>
  <si>
    <t xml:space="preserve">Taq</t>
  </si>
  <si>
    <r>
      <rPr>
        <sz val="8"/>
        <rFont val="Arial"/>
        <family val="0"/>
      </rPr>
      <t xml:space="preserve">5 U/</t>
    </r>
    <r>
      <rPr>
        <sz val="8"/>
        <rFont val="Symbol"/>
        <family val="1"/>
      </rPr>
      <t xml:space="preserve">m</t>
    </r>
    <r>
      <rPr>
        <sz val="8"/>
        <rFont val="Arial"/>
        <family val="0"/>
      </rPr>
      <t xml:space="preserve">l</t>
    </r>
  </si>
  <si>
    <t xml:space="preserve">0.5 U/r</t>
  </si>
  <si>
    <t xml:space="preserve">Oligo 1</t>
  </si>
  <si>
    <r>
      <rPr>
        <sz val="8"/>
        <rFont val="Arial"/>
        <family val="0"/>
      </rPr>
      <t xml:space="preserve">10 </t>
    </r>
    <r>
      <rPr>
        <sz val="8"/>
        <rFont val="Symbol"/>
        <family val="1"/>
      </rPr>
      <t xml:space="preserve">m</t>
    </r>
    <r>
      <rPr>
        <sz val="8"/>
        <rFont val="Arial"/>
        <family val="0"/>
      </rPr>
      <t xml:space="preserve">M</t>
    </r>
  </si>
  <si>
    <r>
      <rPr>
        <sz val="8"/>
        <rFont val="Arial"/>
        <family val="0"/>
      </rPr>
      <t xml:space="preserve">0.5 </t>
    </r>
    <r>
      <rPr>
        <sz val="8"/>
        <rFont val="Symbol"/>
        <family val="1"/>
      </rPr>
      <t xml:space="preserve">m</t>
    </r>
    <r>
      <rPr>
        <sz val="8"/>
        <rFont val="Arial"/>
        <family val="0"/>
      </rPr>
      <t xml:space="preserve">M</t>
    </r>
  </si>
  <si>
    <t xml:space="preserve">Oligo 618</t>
  </si>
  <si>
    <r>
      <rPr>
        <sz val="8"/>
        <rFont val="Arial"/>
        <family val="0"/>
      </rPr>
      <t xml:space="preserve">1 </t>
    </r>
    <r>
      <rPr>
        <sz val="8"/>
        <rFont val="Symbol"/>
        <family val="1"/>
      </rPr>
      <t xml:space="preserve">m</t>
    </r>
    <r>
      <rPr>
        <sz val="8"/>
        <rFont val="Arial"/>
        <family val="0"/>
      </rPr>
      <t xml:space="preserve">M</t>
    </r>
  </si>
  <si>
    <t xml:space="preserve">oligo 619</t>
  </si>
  <si>
    <t xml:space="preserve">Oligo 2</t>
  </si>
  <si>
    <t xml:space="preserve">Oligo 620</t>
  </si>
  <si>
    <t xml:space="preserve">total</t>
  </si>
  <si>
    <t xml:space="preserve">DNA</t>
  </si>
  <si>
    <t xml:space="preserve">B</t>
  </si>
  <si>
    <t xml:space="preserve">OTI</t>
  </si>
  <si>
    <t xml:space="preserve">VB5FXVB5R</t>
  </si>
  <si>
    <t xml:space="preserve">55C</t>
  </si>
  <si>
    <t xml:space="preserve">IL18ko</t>
  </si>
  <si>
    <t xml:space="preserve">61C x35</t>
  </si>
  <si>
    <t xml:space="preserve">betain</t>
  </si>
  <si>
    <t xml:space="preserve">5 M</t>
  </si>
  <si>
    <t xml:space="preserve">.5 M</t>
  </si>
  <si>
    <t xml:space="preserve">Oligo 01946</t>
  </si>
  <si>
    <r>
      <rPr>
        <sz val="8"/>
        <rFont val="Arial"/>
        <family val="0"/>
      </rPr>
      <t xml:space="preserve">0.66 </t>
    </r>
    <r>
      <rPr>
        <sz val="8"/>
        <rFont val="Symbol"/>
        <family val="1"/>
      </rPr>
      <t xml:space="preserve">m</t>
    </r>
    <r>
      <rPr>
        <sz val="8"/>
        <rFont val="Arial"/>
        <family val="0"/>
      </rPr>
      <t xml:space="preserve">M</t>
    </r>
  </si>
  <si>
    <t xml:space="preserve">oligo 01947</t>
  </si>
  <si>
    <t xml:space="preserve">Oligo 013</t>
  </si>
  <si>
    <t xml:space="preserve">oligo 014</t>
  </si>
  <si>
    <t xml:space="preserve">C</t>
  </si>
  <si>
    <r>
      <rPr>
        <sz val="8"/>
        <rFont val="Symbol"/>
        <family val="1"/>
      </rPr>
      <t xml:space="preserve">m</t>
    </r>
    <r>
      <rPr>
        <sz val="8"/>
        <rFont val="Arial"/>
        <family val="0"/>
      </rPr>
      <t xml:space="preserve">l/ 3 reactions</t>
    </r>
  </si>
  <si>
    <t xml:space="preserve">DMSO</t>
  </si>
  <si>
    <t xml:space="preserve">IL18Rko</t>
  </si>
  <si>
    <t xml:space="preserve">58C x25</t>
  </si>
  <si>
    <t xml:space="preserve">D</t>
  </si>
  <si>
    <t xml:space="preserve">Oligo 01755</t>
  </si>
  <si>
    <r>
      <rPr>
        <sz val="8"/>
        <rFont val="Arial"/>
        <family val="0"/>
      </rPr>
      <t xml:space="preserve">0.75 </t>
    </r>
    <r>
      <rPr>
        <sz val="8"/>
        <rFont val="Symbol"/>
        <family val="1"/>
      </rPr>
      <t xml:space="preserve">m</t>
    </r>
    <r>
      <rPr>
        <sz val="8"/>
        <rFont val="Arial"/>
        <family val="0"/>
      </rPr>
      <t xml:space="preserve">M</t>
    </r>
  </si>
  <si>
    <t xml:space="preserve">oligo 01756</t>
  </si>
  <si>
    <t xml:space="preserve">BSA</t>
  </si>
  <si>
    <r>
      <rPr>
        <sz val="8"/>
        <rFont val="Arial"/>
        <family val="0"/>
      </rPr>
      <t xml:space="preserve">1</t>
    </r>
    <r>
      <rPr>
        <sz val="8"/>
        <rFont val="Symbol"/>
        <family val="1"/>
      </rPr>
      <t xml:space="preserve">m</t>
    </r>
    <r>
      <rPr>
        <sz val="8"/>
        <rFont val="Arial"/>
        <family val="0"/>
      </rPr>
      <t xml:space="preserve">g/</t>
    </r>
    <r>
      <rPr>
        <sz val="8"/>
        <rFont val="Symbol"/>
        <family val="1"/>
      </rPr>
      <t xml:space="preserve">m</t>
    </r>
    <r>
      <rPr>
        <sz val="8"/>
        <rFont val="Arial"/>
        <family val="0"/>
      </rPr>
      <t xml:space="preserve">l</t>
    </r>
  </si>
  <si>
    <r>
      <rPr>
        <sz val="8"/>
        <rFont val="Arial"/>
        <family val="0"/>
      </rPr>
      <t xml:space="preserve">100 </t>
    </r>
    <r>
      <rPr>
        <sz val="8"/>
        <rFont val="Symbol"/>
        <family val="1"/>
      </rPr>
      <t xml:space="preserve">m</t>
    </r>
    <r>
      <rPr>
        <sz val="8"/>
        <rFont val="Arial"/>
        <family val="0"/>
      </rPr>
      <t xml:space="preserve">g/</t>
    </r>
    <r>
      <rPr>
        <sz val="8"/>
        <rFont val="Symbol"/>
        <family val="1"/>
      </rPr>
      <t xml:space="preserve">m</t>
    </r>
    <r>
      <rPr>
        <sz val="8"/>
        <rFont val="Arial"/>
        <family val="0"/>
      </rPr>
      <t xml:space="preserve">l</t>
    </r>
  </si>
  <si>
    <t xml:space="preserve">HEB KO</t>
  </si>
  <si>
    <t xml:space="preserve">(w/ B-ine 3 oligos)</t>
  </si>
  <si>
    <t xml:space="preserve">15 mM</t>
  </si>
  <si>
    <t xml:space="preserve">HEB com</t>
  </si>
  <si>
    <t xml:space="preserve">HEB wt</t>
  </si>
  <si>
    <t xml:space="preserve">To try: more taq and dNTP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</si>
</sst>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9]m/d/yyyy"/>
    <numFmt numFmtId="166" formatCode="General"/>
    <numFmt numFmtId="167" formatCode="0%"/>
  </numFmts>
  <fonts count="9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name val="Arial"/>
      <family val="2"/>
    </font>
    <font>
      <sz val="8"/>
      <name val="Arial"/>
      <family val="0"/>
    </font>
    <font>
      <sz val="8"/>
      <name val="Symbol"/>
      <family val="1"/>
    </font>
    <font>
      <sz val="9"/>
      <name val="Arial"/>
      <family val="2"/>
    </font>
    <font>
      <vertAlign val="subscript"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 style="medium"/>
      <diagonal/>
    </border>
    <border diagonalUp="false" diagonalDown="false">
      <left/>
      <right/>
      <top style="thick"/>
      <bottom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ck"/>
      <top/>
      <bottom style="medium"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ck"/>
      <top style="medium"/>
      <bottom style="thick"/>
      <diagonal/>
    </border>
    <border diagonalUp="false" diagonalDown="false">
      <left/>
      <right style="thick"/>
      <top style="medium"/>
      <bottom style="medium"/>
      <diagonal/>
    </border>
    <border diagonalUp="false" diagonalDown="false">
      <left/>
      <right style="thick"/>
      <top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A1" activeCellId="0" sqref="A1:F12"/>
    </sheetView>
  </sheetViews>
  <sheetFormatPr defaultColWidth="8.82421875" defaultRowHeight="12" zeroHeight="false" outlineLevelRow="0" outlineLevelCol="0"/>
  <cols>
    <col collapsed="false" customWidth="true" hidden="false" outlineLevel="0" max="5" min="5" style="0" width="13.48"/>
    <col collapsed="false" customWidth="true" hidden="false" outlineLevel="0" max="8" min="8" style="0" width="9.65"/>
    <col collapsed="false" customWidth="true" hidden="false" outlineLevel="0" max="9" min="9" style="0" width="6.81"/>
  </cols>
  <sheetData>
    <row r="1" customFormat="false" ht="14" hidden="false" customHeight="false" outlineLevel="0" collapsed="false">
      <c r="A1" s="1" t="n">
        <v>15</v>
      </c>
      <c r="B1" s="2"/>
      <c r="C1" s="2"/>
      <c r="D1" s="2"/>
      <c r="E1" s="3"/>
      <c r="H1" s="4" t="n">
        <f aca="false">DATE(2003,9,16)</f>
        <v>37880</v>
      </c>
      <c r="K1" s="1" t="s">
        <v>0</v>
      </c>
      <c r="L1" s="2"/>
      <c r="M1" s="2"/>
      <c r="N1" s="2"/>
      <c r="O1" s="3"/>
    </row>
    <row r="2" s="10" customFormat="true" ht="13" hidden="false" customHeight="false" outlineLevel="0" collapsed="false">
      <c r="A2" s="5" t="s">
        <v>1</v>
      </c>
      <c r="B2" s="6" t="s">
        <v>2</v>
      </c>
      <c r="C2" s="6" t="s">
        <v>3</v>
      </c>
      <c r="D2" s="7" t="s">
        <v>4</v>
      </c>
      <c r="E2" s="8" t="s">
        <v>5</v>
      </c>
      <c r="F2" s="9" t="n">
        <v>29</v>
      </c>
      <c r="G2" s="9"/>
      <c r="H2" s="9"/>
      <c r="I2" s="9"/>
      <c r="K2" s="5" t="s">
        <v>1</v>
      </c>
      <c r="L2" s="6" t="s">
        <v>2</v>
      </c>
      <c r="M2" s="6" t="s">
        <v>3</v>
      </c>
      <c r="N2" s="7" t="s">
        <v>4</v>
      </c>
      <c r="O2" s="8" t="s">
        <v>5</v>
      </c>
      <c r="P2" s="10" t="n">
        <v>10</v>
      </c>
    </row>
    <row r="3" customFormat="false" ht="12" hidden="false" customHeight="false" outlineLevel="0" collapsed="false">
      <c r="A3" s="11" t="s">
        <v>6</v>
      </c>
      <c r="B3" s="12"/>
      <c r="C3" s="12"/>
      <c r="D3" s="12" t="n">
        <v>13.25</v>
      </c>
      <c r="E3" s="13" t="n">
        <f aca="false">D3*F$2</f>
        <v>384.25</v>
      </c>
      <c r="F3" s="9" t="s">
        <v>7</v>
      </c>
      <c r="G3" s="9" t="s">
        <v>8</v>
      </c>
      <c r="H3" s="9" t="s">
        <v>9</v>
      </c>
      <c r="I3" s="9"/>
      <c r="K3" s="11" t="s">
        <v>6</v>
      </c>
      <c r="L3" s="12"/>
      <c r="M3" s="12"/>
      <c r="N3" s="12" t="n">
        <v>10.75</v>
      </c>
      <c r="O3" s="13" t="n">
        <f aca="false">N3*P$2</f>
        <v>107.5</v>
      </c>
    </row>
    <row r="4" customFormat="false" ht="12" hidden="false" customHeight="false" outlineLevel="0" collapsed="false">
      <c r="A4" s="11" t="s">
        <v>10</v>
      </c>
      <c r="B4" s="12" t="s">
        <v>11</v>
      </c>
      <c r="C4" s="12" t="s">
        <v>12</v>
      </c>
      <c r="D4" s="12" t="n">
        <v>5</v>
      </c>
      <c r="E4" s="13" t="n">
        <f aca="false">D4*F$2</f>
        <v>145</v>
      </c>
      <c r="F4" s="9" t="s">
        <v>13</v>
      </c>
      <c r="G4" s="9" t="s">
        <v>14</v>
      </c>
      <c r="H4" s="9" t="s">
        <v>15</v>
      </c>
      <c r="I4" s="9"/>
      <c r="K4" s="11" t="s">
        <v>10</v>
      </c>
      <c r="L4" s="12" t="s">
        <v>11</v>
      </c>
      <c r="M4" s="12" t="s">
        <v>12</v>
      </c>
      <c r="N4" s="12" t="n">
        <v>5</v>
      </c>
      <c r="O4" s="13" t="n">
        <f aca="false">N4*P$2</f>
        <v>50</v>
      </c>
    </row>
    <row r="5" customFormat="false" ht="12" hidden="false" customHeight="false" outlineLevel="0" collapsed="false">
      <c r="A5" s="11" t="s">
        <v>16</v>
      </c>
      <c r="B5" s="12" t="s">
        <v>17</v>
      </c>
      <c r="C5" s="12" t="s">
        <v>18</v>
      </c>
      <c r="D5" s="12" t="n">
        <v>2.5</v>
      </c>
      <c r="E5" s="13" t="n">
        <f aca="false">D5*F$2</f>
        <v>72.5</v>
      </c>
      <c r="F5" s="9" t="s">
        <v>13</v>
      </c>
      <c r="G5" s="9" t="s">
        <v>19</v>
      </c>
      <c r="H5" s="9" t="s">
        <v>20</v>
      </c>
      <c r="I5" s="9"/>
      <c r="K5" s="11" t="s">
        <v>16</v>
      </c>
      <c r="L5" s="12" t="s">
        <v>21</v>
      </c>
      <c r="M5" s="12" t="s">
        <v>22</v>
      </c>
      <c r="N5" s="12" t="n">
        <v>2.5</v>
      </c>
      <c r="O5" s="13" t="n">
        <f aca="false">N5*P$2</f>
        <v>25</v>
      </c>
    </row>
    <row r="6" customFormat="false" ht="12" hidden="false" customHeight="false" outlineLevel="0" collapsed="false">
      <c r="A6" s="11" t="s">
        <v>23</v>
      </c>
      <c r="B6" s="12" t="s">
        <v>24</v>
      </c>
      <c r="C6" s="12" t="s">
        <v>25</v>
      </c>
      <c r="D6" s="12" t="n">
        <v>0.5</v>
      </c>
      <c r="E6" s="13" t="n">
        <f aca="false">D6*F$2</f>
        <v>14.5</v>
      </c>
      <c r="G6" s="9" t="s">
        <v>26</v>
      </c>
      <c r="K6" s="11" t="s">
        <v>23</v>
      </c>
      <c r="L6" s="12" t="s">
        <v>24</v>
      </c>
      <c r="M6" s="12" t="s">
        <v>25</v>
      </c>
      <c r="N6" s="12" t="n">
        <v>0.5</v>
      </c>
      <c r="O6" s="13" t="n">
        <f aca="false">N6*P$2</f>
        <v>5</v>
      </c>
    </row>
    <row r="7" customFormat="false" ht="12" hidden="false" customHeight="false" outlineLevel="0" collapsed="false">
      <c r="A7" s="11" t="s">
        <v>27</v>
      </c>
      <c r="B7" s="12" t="s">
        <v>28</v>
      </c>
      <c r="C7" s="12" t="s">
        <v>29</v>
      </c>
      <c r="D7" s="12" t="n">
        <v>0.25</v>
      </c>
      <c r="E7" s="13" t="n">
        <f aca="false">D7*F$2</f>
        <v>7.25</v>
      </c>
      <c r="K7" s="11" t="s">
        <v>27</v>
      </c>
      <c r="L7" s="12" t="s">
        <v>28</v>
      </c>
      <c r="M7" s="12" t="s">
        <v>29</v>
      </c>
      <c r="N7" s="12" t="n">
        <v>0.25</v>
      </c>
      <c r="O7" s="13" t="n">
        <f aca="false">N7*P$2</f>
        <v>2.5</v>
      </c>
    </row>
    <row r="8" customFormat="false" ht="12" hidden="false" customHeight="false" outlineLevel="0" collapsed="false">
      <c r="A8" s="11" t="s">
        <v>30</v>
      </c>
      <c r="B8" s="12" t="s">
        <v>31</v>
      </c>
      <c r="C8" s="12" t="s">
        <v>32</v>
      </c>
      <c r="D8" s="12" t="n">
        <v>1.25</v>
      </c>
      <c r="E8" s="13" t="n">
        <f aca="false">D8*F$2</f>
        <v>36.25</v>
      </c>
      <c r="K8" s="11" t="s">
        <v>33</v>
      </c>
      <c r="L8" s="12" t="s">
        <v>31</v>
      </c>
      <c r="M8" s="12" t="s">
        <v>34</v>
      </c>
      <c r="N8" s="12" t="n">
        <v>2.5</v>
      </c>
      <c r="O8" s="13" t="n">
        <f aca="false">N8*P$2</f>
        <v>25</v>
      </c>
    </row>
    <row r="9" customFormat="false" ht="12" hidden="false" customHeight="false" outlineLevel="0" collapsed="false">
      <c r="A9" s="11"/>
      <c r="B9" s="12"/>
      <c r="C9" s="12"/>
      <c r="D9" s="12"/>
      <c r="E9" s="13"/>
      <c r="K9" s="11" t="s">
        <v>35</v>
      </c>
      <c r="L9" s="12" t="s">
        <v>31</v>
      </c>
      <c r="M9" s="12" t="n">
        <v>0.5</v>
      </c>
      <c r="N9" s="12" t="n">
        <v>1.25</v>
      </c>
      <c r="O9" s="13" t="n">
        <f aca="false">N9*P$2</f>
        <v>12.5</v>
      </c>
    </row>
    <row r="10" customFormat="false" ht="12" hidden="false" customHeight="false" outlineLevel="0" collapsed="false">
      <c r="A10" s="11" t="s">
        <v>36</v>
      </c>
      <c r="B10" s="12" t="s">
        <v>31</v>
      </c>
      <c r="C10" s="12" t="s">
        <v>32</v>
      </c>
      <c r="D10" s="12" t="n">
        <v>1.25</v>
      </c>
      <c r="E10" s="13" t="n">
        <f aca="false">D10*F$2</f>
        <v>36.25</v>
      </c>
      <c r="K10" s="11" t="s">
        <v>37</v>
      </c>
      <c r="L10" s="12" t="s">
        <v>31</v>
      </c>
      <c r="M10" s="12" t="s">
        <v>34</v>
      </c>
      <c r="N10" s="12" t="n">
        <v>2.5</v>
      </c>
      <c r="O10" s="13" t="n">
        <f aca="false">N10*P$2</f>
        <v>25</v>
      </c>
    </row>
    <row r="11" customFormat="false" ht="13" hidden="false" customHeight="false" outlineLevel="0" collapsed="false">
      <c r="A11" s="11" t="s">
        <v>38</v>
      </c>
      <c r="B11" s="12"/>
      <c r="C11" s="12"/>
      <c r="D11" s="12" t="n">
        <f aca="false">D3+D4+D5+D6+D7+D8+D10</f>
        <v>24</v>
      </c>
      <c r="E11" s="13" t="n">
        <f aca="false">D11*F$2</f>
        <v>696</v>
      </c>
      <c r="K11" s="11" t="s">
        <v>38</v>
      </c>
      <c r="L11" s="12"/>
      <c r="M11" s="12"/>
      <c r="N11" s="12" t="n">
        <f aca="false">N3+N4+N5+N6+N7+N8+N10</f>
        <v>24</v>
      </c>
      <c r="O11" s="13" t="n">
        <f aca="false">N11*P$2</f>
        <v>240</v>
      </c>
    </row>
    <row r="12" customFormat="false" ht="13" hidden="false" customHeight="false" outlineLevel="0" collapsed="false">
      <c r="A12" s="14" t="s">
        <v>39</v>
      </c>
      <c r="B12" s="15"/>
      <c r="C12" s="15"/>
      <c r="D12" s="15"/>
      <c r="E12" s="16" t="n">
        <v>1</v>
      </c>
      <c r="K12" s="14" t="s">
        <v>39</v>
      </c>
      <c r="L12" s="15"/>
      <c r="M12" s="15"/>
      <c r="N12" s="15"/>
      <c r="O12" s="16" t="n">
        <v>1</v>
      </c>
    </row>
    <row r="13" customFormat="false" ht="14" hidden="false" customHeight="false" outlineLevel="0" collapsed="false">
      <c r="A13" s="17"/>
      <c r="B13" s="17"/>
      <c r="C13" s="17"/>
      <c r="D13" s="17"/>
      <c r="E13" s="17"/>
    </row>
    <row r="14" customFormat="false" ht="14" hidden="false" customHeight="false" outlineLevel="0" collapsed="false">
      <c r="A14" s="1" t="s">
        <v>40</v>
      </c>
      <c r="B14" s="2"/>
      <c r="C14" s="2"/>
      <c r="D14" s="2"/>
      <c r="E14" s="3"/>
    </row>
    <row r="15" customFormat="false" ht="13" hidden="false" customHeight="false" outlineLevel="0" collapsed="false">
      <c r="A15" s="5" t="s">
        <v>1</v>
      </c>
      <c r="B15" s="6" t="s">
        <v>2</v>
      </c>
      <c r="C15" s="6" t="s">
        <v>3</v>
      </c>
      <c r="D15" s="7" t="s">
        <v>4</v>
      </c>
      <c r="E15" s="8" t="s">
        <v>5</v>
      </c>
      <c r="F15" s="0" t="n">
        <v>14</v>
      </c>
    </row>
    <row r="16" customFormat="false" ht="13" hidden="false" customHeight="false" outlineLevel="0" collapsed="false">
      <c r="A16" s="11" t="s">
        <v>6</v>
      </c>
      <c r="B16" s="12"/>
      <c r="C16" s="12"/>
      <c r="D16" s="12" t="n">
        <v>10.75</v>
      </c>
      <c r="E16" s="13" t="n">
        <f aca="false">D16*F$15</f>
        <v>150.5</v>
      </c>
      <c r="F16" s="18" t="s">
        <v>41</v>
      </c>
      <c r="G16" s="18" t="s">
        <v>42</v>
      </c>
      <c r="H16" s="0" t="s">
        <v>43</v>
      </c>
      <c r="I16" s="0" t="s">
        <v>13</v>
      </c>
    </row>
    <row r="17" customFormat="false" ht="14" hidden="false" customHeight="false" outlineLevel="0" collapsed="false">
      <c r="A17" s="11" t="s">
        <v>10</v>
      </c>
      <c r="B17" s="12" t="s">
        <v>11</v>
      </c>
      <c r="C17" s="12" t="s">
        <v>12</v>
      </c>
      <c r="D17" s="12" t="n">
        <v>5</v>
      </c>
      <c r="E17" s="13" t="n">
        <f aca="false">D17*F$15</f>
        <v>70</v>
      </c>
      <c r="F17" s="18"/>
      <c r="K17" s="1" t="s">
        <v>44</v>
      </c>
      <c r="L17" s="2" t="s">
        <v>45</v>
      </c>
      <c r="M17" s="2"/>
      <c r="N17" s="2"/>
      <c r="O17" s="3"/>
      <c r="P17" s="0" t="n">
        <v>8</v>
      </c>
    </row>
    <row r="18" customFormat="false" ht="13" hidden="false" customHeight="false" outlineLevel="0" collapsed="false">
      <c r="A18" s="11" t="s">
        <v>16</v>
      </c>
      <c r="B18" s="12" t="s">
        <v>17</v>
      </c>
      <c r="C18" s="12" t="s">
        <v>18</v>
      </c>
      <c r="D18" s="12" t="n">
        <v>2.5</v>
      </c>
      <c r="E18" s="13" t="n">
        <f aca="false">D18*F$15</f>
        <v>35</v>
      </c>
      <c r="K18" s="5" t="s">
        <v>1</v>
      </c>
      <c r="L18" s="6" t="s">
        <v>2</v>
      </c>
      <c r="M18" s="6" t="s">
        <v>3</v>
      </c>
      <c r="N18" s="7" t="s">
        <v>4</v>
      </c>
      <c r="O18" s="8" t="s">
        <v>5</v>
      </c>
    </row>
    <row r="19" customFormat="false" ht="12" hidden="false" customHeight="false" outlineLevel="0" collapsed="false">
      <c r="A19" s="11" t="s">
        <v>23</v>
      </c>
      <c r="B19" s="12" t="s">
        <v>24</v>
      </c>
      <c r="C19" s="12" t="s">
        <v>25</v>
      </c>
      <c r="D19" s="12" t="n">
        <v>0.5</v>
      </c>
      <c r="E19" s="13" t="n">
        <f aca="false">D19*F$15</f>
        <v>7</v>
      </c>
      <c r="K19" s="11" t="s">
        <v>6</v>
      </c>
      <c r="L19" s="12"/>
      <c r="M19" s="12"/>
      <c r="N19" s="12" t="n">
        <v>12.85</v>
      </c>
      <c r="O19" s="13" t="n">
        <f aca="false">N19*P$17</f>
        <v>102.8</v>
      </c>
    </row>
    <row r="20" customFormat="false" ht="12" hidden="false" customHeight="false" outlineLevel="0" collapsed="false">
      <c r="A20" s="11" t="s">
        <v>46</v>
      </c>
      <c r="B20" s="12" t="s">
        <v>47</v>
      </c>
      <c r="C20" s="12" t="s">
        <v>48</v>
      </c>
      <c r="D20" s="12" t="n">
        <v>2.5</v>
      </c>
      <c r="E20" s="13" t="n">
        <f aca="false">D20*F$15</f>
        <v>35</v>
      </c>
      <c r="K20" s="11" t="s">
        <v>10</v>
      </c>
      <c r="L20" s="12" t="s">
        <v>11</v>
      </c>
      <c r="M20" s="12" t="s">
        <v>12</v>
      </c>
      <c r="N20" s="12" t="n">
        <v>5</v>
      </c>
      <c r="O20" s="13" t="n">
        <f aca="false">N20*P$17</f>
        <v>40</v>
      </c>
    </row>
    <row r="21" customFormat="false" ht="12" hidden="false" customHeight="false" outlineLevel="0" collapsed="false">
      <c r="A21" s="11" t="s">
        <v>27</v>
      </c>
      <c r="B21" s="12" t="s">
        <v>28</v>
      </c>
      <c r="C21" s="12" t="s">
        <v>29</v>
      </c>
      <c r="D21" s="12" t="n">
        <v>0.25</v>
      </c>
      <c r="E21" s="13" t="n">
        <f aca="false">D21*F$15</f>
        <v>3.5</v>
      </c>
      <c r="K21" s="11" t="s">
        <v>16</v>
      </c>
      <c r="L21" s="12" t="s">
        <v>21</v>
      </c>
      <c r="M21" s="12" t="s">
        <v>22</v>
      </c>
      <c r="N21" s="12" t="n">
        <v>2.5</v>
      </c>
      <c r="O21" s="13" t="n">
        <f aca="false">N21*P$17</f>
        <v>20</v>
      </c>
    </row>
    <row r="22" customFormat="false" ht="12" hidden="false" customHeight="false" outlineLevel="0" collapsed="false">
      <c r="A22" s="11" t="s">
        <v>30</v>
      </c>
      <c r="B22" s="12" t="s">
        <v>31</v>
      </c>
      <c r="C22" s="12" t="s">
        <v>32</v>
      </c>
      <c r="D22" s="12" t="n">
        <v>1.25</v>
      </c>
      <c r="E22" s="13" t="n">
        <f aca="false">D22*F$15</f>
        <v>17.5</v>
      </c>
      <c r="K22" s="11" t="s">
        <v>23</v>
      </c>
      <c r="L22" s="12" t="s">
        <v>24</v>
      </c>
      <c r="M22" s="12" t="s">
        <v>25</v>
      </c>
      <c r="N22" s="12" t="n">
        <v>0.5</v>
      </c>
      <c r="O22" s="13" t="n">
        <f aca="false">N22*P$17</f>
        <v>4</v>
      </c>
    </row>
    <row r="23" customFormat="false" ht="12" hidden="false" customHeight="false" outlineLevel="0" collapsed="false">
      <c r="A23" s="11" t="s">
        <v>36</v>
      </c>
      <c r="B23" s="12" t="s">
        <v>31</v>
      </c>
      <c r="C23" s="12" t="s">
        <v>32</v>
      </c>
      <c r="D23" s="12" t="n">
        <v>1.25</v>
      </c>
      <c r="E23" s="13" t="n">
        <f aca="false">D23*F$15</f>
        <v>17.5</v>
      </c>
      <c r="K23" s="11" t="s">
        <v>27</v>
      </c>
      <c r="L23" s="12" t="s">
        <v>28</v>
      </c>
      <c r="M23" s="12" t="s">
        <v>29</v>
      </c>
      <c r="N23" s="12" t="n">
        <v>0.25</v>
      </c>
      <c r="O23" s="13" t="n">
        <f aca="false">N23*P$17</f>
        <v>2</v>
      </c>
    </row>
    <row r="24" customFormat="false" ht="12" hidden="false" customHeight="false" outlineLevel="0" collapsed="false">
      <c r="A24" s="11" t="s">
        <v>38</v>
      </c>
      <c r="B24" s="12"/>
      <c r="C24" s="12"/>
      <c r="D24" s="12" t="n">
        <f aca="false">D16+D17+D18+D19+D20+D21+D22+D23</f>
        <v>24</v>
      </c>
      <c r="E24" s="13" t="n">
        <f aca="false">D24*F$15</f>
        <v>336</v>
      </c>
      <c r="F24" s="0" t="n">
        <f aca="false">E24/D24</f>
        <v>14</v>
      </c>
      <c r="K24" s="11" t="s">
        <v>49</v>
      </c>
      <c r="L24" s="12" t="s">
        <v>31</v>
      </c>
      <c r="M24" s="12" t="s">
        <v>50</v>
      </c>
      <c r="N24" s="12" t="n">
        <v>1.65</v>
      </c>
      <c r="O24" s="13" t="n">
        <f aca="false">N24*P$17</f>
        <v>13.2</v>
      </c>
    </row>
    <row r="25" customFormat="false" ht="13" hidden="false" customHeight="false" outlineLevel="0" collapsed="false">
      <c r="A25" s="14" t="s">
        <v>39</v>
      </c>
      <c r="B25" s="15"/>
      <c r="C25" s="15"/>
      <c r="D25" s="15"/>
      <c r="E25" s="13" t="n">
        <v>1</v>
      </c>
      <c r="K25" s="11" t="s">
        <v>51</v>
      </c>
      <c r="L25" s="12" t="s">
        <v>31</v>
      </c>
      <c r="M25" s="12" t="s">
        <v>50</v>
      </c>
      <c r="N25" s="12" t="n">
        <v>1.65</v>
      </c>
      <c r="O25" s="13" t="n">
        <f aca="false">N25*P$17</f>
        <v>13.2</v>
      </c>
    </row>
    <row r="26" customFormat="false" ht="13" hidden="false" customHeight="false" outlineLevel="0" collapsed="false">
      <c r="A26" s="17"/>
      <c r="B26" s="17"/>
      <c r="C26" s="17"/>
      <c r="D26" s="17"/>
      <c r="E26" s="17"/>
      <c r="K26" s="11" t="s">
        <v>52</v>
      </c>
      <c r="L26" s="12" t="s">
        <v>31</v>
      </c>
      <c r="M26" s="12" t="s">
        <v>32</v>
      </c>
      <c r="N26" s="12" t="n">
        <v>1.25</v>
      </c>
      <c r="O26" s="13" t="n">
        <f aca="false">N26*P$17</f>
        <v>10</v>
      </c>
    </row>
    <row r="27" customFormat="false" ht="13" hidden="false" customHeight="false" outlineLevel="0" collapsed="false">
      <c r="A27" s="17"/>
      <c r="B27" s="17"/>
      <c r="C27" s="17"/>
      <c r="D27" s="17"/>
      <c r="E27" s="17"/>
      <c r="K27" s="11" t="s">
        <v>53</v>
      </c>
      <c r="L27" s="12" t="s">
        <v>31</v>
      </c>
      <c r="M27" s="12" t="s">
        <v>32</v>
      </c>
      <c r="N27" s="12" t="n">
        <v>1.25</v>
      </c>
      <c r="O27" s="13" t="n">
        <f aca="false">N27*P$17</f>
        <v>10</v>
      </c>
    </row>
    <row r="28" customFormat="false" ht="14" hidden="false" customHeight="false" outlineLevel="0" collapsed="false">
      <c r="A28" s="1" t="s">
        <v>54</v>
      </c>
      <c r="B28" s="2"/>
      <c r="C28" s="2"/>
      <c r="D28" s="2"/>
      <c r="E28" s="3"/>
      <c r="K28" s="11" t="s">
        <v>38</v>
      </c>
      <c r="L28" s="12"/>
      <c r="M28" s="12"/>
      <c r="N28" s="12" t="n">
        <f aca="false">N19+N20+N21+N22+N23+N24+N26</f>
        <v>24</v>
      </c>
      <c r="O28" s="13" t="n">
        <f aca="false">N28*P$17</f>
        <v>192</v>
      </c>
      <c r="P28" s="0" t="n">
        <f aca="false">O28/N28</f>
        <v>8</v>
      </c>
    </row>
    <row r="29" customFormat="false" ht="13" hidden="false" customHeight="false" outlineLevel="0" collapsed="false">
      <c r="A29" s="5" t="s">
        <v>1</v>
      </c>
      <c r="B29" s="6" t="s">
        <v>2</v>
      </c>
      <c r="C29" s="6" t="s">
        <v>3</v>
      </c>
      <c r="D29" s="7" t="s">
        <v>4</v>
      </c>
      <c r="E29" s="8" t="s">
        <v>55</v>
      </c>
      <c r="K29" s="14" t="s">
        <v>39</v>
      </c>
      <c r="L29" s="15"/>
      <c r="M29" s="15"/>
      <c r="N29" s="15"/>
      <c r="O29" s="16" t="n">
        <v>1</v>
      </c>
    </row>
    <row r="30" customFormat="false" ht="12" hidden="false" customHeight="false" outlineLevel="0" collapsed="false">
      <c r="A30" s="11" t="s">
        <v>6</v>
      </c>
      <c r="B30" s="12"/>
      <c r="C30" s="12"/>
      <c r="D30" s="12" t="n">
        <v>10.75</v>
      </c>
      <c r="E30" s="13" t="n">
        <f aca="false">D30*3</f>
        <v>32.25</v>
      </c>
    </row>
    <row r="31" customFormat="false" ht="12" hidden="false" customHeight="false" outlineLevel="0" collapsed="false">
      <c r="A31" s="11" t="s">
        <v>10</v>
      </c>
      <c r="B31" s="12" t="s">
        <v>11</v>
      </c>
      <c r="C31" s="12" t="s">
        <v>12</v>
      </c>
      <c r="D31" s="12" t="n">
        <v>5</v>
      </c>
      <c r="E31" s="13" t="n">
        <f aca="false">D31*3</f>
        <v>15</v>
      </c>
    </row>
    <row r="32" customFormat="false" ht="12" hidden="false" customHeight="false" outlineLevel="0" collapsed="false">
      <c r="A32" s="11" t="s">
        <v>16</v>
      </c>
      <c r="B32" s="12" t="s">
        <v>17</v>
      </c>
      <c r="C32" s="12" t="s">
        <v>18</v>
      </c>
      <c r="D32" s="12" t="n">
        <v>2.5</v>
      </c>
      <c r="E32" s="13" t="n">
        <f aca="false">D32*3</f>
        <v>7.5</v>
      </c>
    </row>
    <row r="33" customFormat="false" ht="13" hidden="false" customHeight="false" outlineLevel="0" collapsed="false">
      <c r="A33" s="11" t="s">
        <v>23</v>
      </c>
      <c r="B33" s="12" t="s">
        <v>24</v>
      </c>
      <c r="C33" s="12" t="s">
        <v>25</v>
      </c>
      <c r="D33" s="12" t="n">
        <v>0.5</v>
      </c>
      <c r="E33" s="13" t="n">
        <f aca="false">D33*3</f>
        <v>1.5</v>
      </c>
    </row>
    <row r="34" customFormat="false" ht="14" hidden="false" customHeight="false" outlineLevel="0" collapsed="false">
      <c r="A34" s="11" t="s">
        <v>56</v>
      </c>
      <c r="B34" s="19" t="n">
        <v>1</v>
      </c>
      <c r="C34" s="19" t="n">
        <v>0.1</v>
      </c>
      <c r="D34" s="12" t="n">
        <v>2.5</v>
      </c>
      <c r="E34" s="13" t="n">
        <f aca="false">D34*3</f>
        <v>7.5</v>
      </c>
      <c r="K34" s="1" t="s">
        <v>57</v>
      </c>
      <c r="L34" s="2" t="s">
        <v>58</v>
      </c>
      <c r="M34" s="2"/>
      <c r="N34" s="2"/>
      <c r="O34" s="3"/>
      <c r="P34" s="0" t="n">
        <v>16</v>
      </c>
    </row>
    <row r="35" customFormat="false" ht="13" hidden="false" customHeight="false" outlineLevel="0" collapsed="false">
      <c r="A35" s="11" t="s">
        <v>27</v>
      </c>
      <c r="B35" s="12" t="s">
        <v>28</v>
      </c>
      <c r="C35" s="12" t="s">
        <v>29</v>
      </c>
      <c r="D35" s="12" t="n">
        <v>0.25</v>
      </c>
      <c r="E35" s="13" t="n">
        <f aca="false">D35*3</f>
        <v>0.75</v>
      </c>
      <c r="K35" s="5" t="s">
        <v>1</v>
      </c>
      <c r="L35" s="6" t="s">
        <v>2</v>
      </c>
      <c r="M35" s="6" t="s">
        <v>3</v>
      </c>
      <c r="N35" s="7" t="s">
        <v>4</v>
      </c>
      <c r="O35" s="8" t="s">
        <v>5</v>
      </c>
    </row>
    <row r="36" customFormat="false" ht="12" hidden="false" customHeight="false" outlineLevel="0" collapsed="false">
      <c r="A36" s="11" t="s">
        <v>30</v>
      </c>
      <c r="B36" s="12" t="s">
        <v>31</v>
      </c>
      <c r="C36" s="12" t="s">
        <v>32</v>
      </c>
      <c r="D36" s="12" t="n">
        <v>1.25</v>
      </c>
      <c r="E36" s="13" t="n">
        <f aca="false">D36*3</f>
        <v>3.75</v>
      </c>
      <c r="K36" s="11" t="s">
        <v>6</v>
      </c>
      <c r="L36" s="12"/>
      <c r="M36" s="12"/>
      <c r="N36" s="12" t="n">
        <v>12.6</v>
      </c>
      <c r="O36" s="13" t="n">
        <f aca="false">N36*P$34</f>
        <v>201.6</v>
      </c>
    </row>
    <row r="37" customFormat="false" ht="13" hidden="false" customHeight="false" outlineLevel="0" collapsed="false">
      <c r="A37" s="11" t="s">
        <v>36</v>
      </c>
      <c r="B37" s="12" t="s">
        <v>31</v>
      </c>
      <c r="C37" s="12" t="s">
        <v>32</v>
      </c>
      <c r="D37" s="12" t="n">
        <v>1.25</v>
      </c>
      <c r="E37" s="13" t="n">
        <f aca="false">D37*3</f>
        <v>3.75</v>
      </c>
      <c r="K37" s="11" t="s">
        <v>10</v>
      </c>
      <c r="L37" s="12" t="s">
        <v>11</v>
      </c>
      <c r="M37" s="12" t="s">
        <v>12</v>
      </c>
      <c r="N37" s="12" t="n">
        <v>5</v>
      </c>
      <c r="O37" s="13" t="n">
        <f aca="false">N37*P$34</f>
        <v>80</v>
      </c>
    </row>
    <row r="38" customFormat="false" ht="13" hidden="false" customHeight="false" outlineLevel="0" collapsed="false">
      <c r="A38" s="11" t="s">
        <v>38</v>
      </c>
      <c r="B38" s="12"/>
      <c r="C38" s="12"/>
      <c r="D38" s="12" t="n">
        <f aca="false">D30+D31+D32+D33+D34+D35+D36+D37</f>
        <v>24</v>
      </c>
      <c r="E38" s="20" t="n">
        <f aca="false">E30+E31+E32+E33+E34+E35+E36+E37</f>
        <v>72</v>
      </c>
      <c r="K38" s="11" t="s">
        <v>16</v>
      </c>
      <c r="L38" s="12" t="s">
        <v>21</v>
      </c>
      <c r="M38" s="12" t="s">
        <v>22</v>
      </c>
      <c r="N38" s="12" t="n">
        <v>2.5</v>
      </c>
      <c r="O38" s="13" t="n">
        <f aca="false">N38*P$34</f>
        <v>40</v>
      </c>
    </row>
    <row r="39" customFormat="false" ht="13" hidden="false" customHeight="false" outlineLevel="0" collapsed="false">
      <c r="A39" s="14" t="s">
        <v>39</v>
      </c>
      <c r="B39" s="15"/>
      <c r="C39" s="15"/>
      <c r="D39" s="15"/>
      <c r="E39" s="21" t="n">
        <v>1</v>
      </c>
      <c r="K39" s="11" t="s">
        <v>23</v>
      </c>
      <c r="L39" s="12" t="s">
        <v>24</v>
      </c>
      <c r="M39" s="12" t="s">
        <v>25</v>
      </c>
      <c r="N39" s="12" t="n">
        <v>0.5</v>
      </c>
      <c r="O39" s="13" t="n">
        <f aca="false">N39*P$34</f>
        <v>8</v>
      </c>
    </row>
    <row r="40" customFormat="false" ht="14" hidden="false" customHeight="false" outlineLevel="0" collapsed="false">
      <c r="A40" s="17"/>
      <c r="B40" s="17"/>
      <c r="C40" s="17"/>
      <c r="D40" s="17"/>
      <c r="E40" s="17"/>
      <c r="K40" s="11" t="s">
        <v>27</v>
      </c>
      <c r="L40" s="12" t="s">
        <v>28</v>
      </c>
      <c r="M40" s="12" t="s">
        <v>29</v>
      </c>
      <c r="N40" s="12" t="n">
        <v>0.25</v>
      </c>
      <c r="O40" s="13" t="n">
        <f aca="false">N40*P$34</f>
        <v>4</v>
      </c>
    </row>
    <row r="41" customFormat="false" ht="14" hidden="false" customHeight="false" outlineLevel="0" collapsed="false">
      <c r="A41" s="1" t="s">
        <v>59</v>
      </c>
      <c r="B41" s="2"/>
      <c r="C41" s="2"/>
      <c r="D41" s="2"/>
      <c r="E41" s="3"/>
      <c r="K41" s="11" t="s">
        <v>60</v>
      </c>
      <c r="L41" s="12" t="s">
        <v>31</v>
      </c>
      <c r="M41" s="12" t="s">
        <v>61</v>
      </c>
      <c r="N41" s="12" t="n">
        <v>1.9</v>
      </c>
      <c r="O41" s="13" t="n">
        <f aca="false">N41*P$34</f>
        <v>30.4</v>
      </c>
    </row>
    <row r="42" customFormat="false" ht="13" hidden="false" customHeight="false" outlineLevel="0" collapsed="false">
      <c r="A42" s="5" t="s">
        <v>1</v>
      </c>
      <c r="B42" s="6" t="s">
        <v>2</v>
      </c>
      <c r="C42" s="6" t="s">
        <v>3</v>
      </c>
      <c r="D42" s="7" t="s">
        <v>4</v>
      </c>
      <c r="E42" s="8" t="s">
        <v>55</v>
      </c>
      <c r="K42" s="11" t="s">
        <v>62</v>
      </c>
      <c r="L42" s="12" t="s">
        <v>31</v>
      </c>
      <c r="M42" s="12" t="s">
        <v>61</v>
      </c>
      <c r="N42" s="12" t="n">
        <v>1.9</v>
      </c>
      <c r="O42" s="13" t="n">
        <f aca="false">N42*P$34</f>
        <v>30.4</v>
      </c>
    </row>
    <row r="43" customFormat="false" ht="12" hidden="false" customHeight="false" outlineLevel="0" collapsed="false">
      <c r="A43" s="11" t="s">
        <v>6</v>
      </c>
      <c r="B43" s="12"/>
      <c r="C43" s="12"/>
      <c r="D43" s="12" t="n">
        <v>10.75</v>
      </c>
      <c r="E43" s="13" t="n">
        <f aca="false">D43*3</f>
        <v>32.25</v>
      </c>
      <c r="K43" s="11" t="s">
        <v>52</v>
      </c>
      <c r="L43" s="12" t="s">
        <v>31</v>
      </c>
      <c r="M43" s="12" t="s">
        <v>32</v>
      </c>
      <c r="N43" s="12" t="n">
        <v>1.25</v>
      </c>
      <c r="O43" s="13" t="n">
        <f aca="false">N43*P$34</f>
        <v>20</v>
      </c>
    </row>
    <row r="44" customFormat="false" ht="12" hidden="false" customHeight="false" outlineLevel="0" collapsed="false">
      <c r="A44" s="11" t="s">
        <v>10</v>
      </c>
      <c r="B44" s="12" t="s">
        <v>11</v>
      </c>
      <c r="C44" s="12" t="s">
        <v>12</v>
      </c>
      <c r="D44" s="12" t="n">
        <v>5</v>
      </c>
      <c r="E44" s="13" t="n">
        <f aca="false">D44*3</f>
        <v>15</v>
      </c>
      <c r="K44" s="11" t="s">
        <v>53</v>
      </c>
      <c r="L44" s="12" t="s">
        <v>31</v>
      </c>
      <c r="M44" s="12" t="s">
        <v>32</v>
      </c>
      <c r="N44" s="12" t="n">
        <v>1.25</v>
      </c>
      <c r="O44" s="13" t="n">
        <f aca="false">N44*P$34</f>
        <v>20</v>
      </c>
    </row>
    <row r="45" customFormat="false" ht="13" hidden="false" customHeight="false" outlineLevel="0" collapsed="false">
      <c r="A45" s="11" t="s">
        <v>16</v>
      </c>
      <c r="B45" s="12" t="s">
        <v>17</v>
      </c>
      <c r="C45" s="12" t="s">
        <v>18</v>
      </c>
      <c r="D45" s="12" t="n">
        <v>2.5</v>
      </c>
      <c r="E45" s="13" t="n">
        <f aca="false">D45*3</f>
        <v>7.5</v>
      </c>
      <c r="K45" s="11" t="s">
        <v>38</v>
      </c>
      <c r="L45" s="12"/>
      <c r="M45" s="12"/>
      <c r="N45" s="12" t="n">
        <f aca="false">N36+N37+N38+N39+N40+N41+N43</f>
        <v>24</v>
      </c>
      <c r="O45" s="13" t="n">
        <f aca="false">N45*P$34</f>
        <v>384</v>
      </c>
      <c r="P45" s="0" t="n">
        <f aca="false">O45/N45</f>
        <v>16</v>
      </c>
    </row>
    <row r="46" customFormat="false" ht="13" hidden="false" customHeight="false" outlineLevel="0" collapsed="false">
      <c r="A46" s="11" t="s">
        <v>23</v>
      </c>
      <c r="B46" s="12" t="s">
        <v>24</v>
      </c>
      <c r="C46" s="12" t="s">
        <v>25</v>
      </c>
      <c r="D46" s="12" t="n">
        <v>0.5</v>
      </c>
      <c r="E46" s="13" t="n">
        <f aca="false">D46*3</f>
        <v>1.5</v>
      </c>
      <c r="K46" s="14" t="s">
        <v>39</v>
      </c>
      <c r="L46" s="15"/>
      <c r="M46" s="15"/>
      <c r="N46" s="15"/>
      <c r="O46" s="16" t="n">
        <v>1</v>
      </c>
    </row>
    <row r="47" customFormat="false" ht="13" hidden="false" customHeight="false" outlineLevel="0" collapsed="false">
      <c r="A47" s="11" t="s">
        <v>63</v>
      </c>
      <c r="B47" s="19" t="s">
        <v>64</v>
      </c>
      <c r="C47" s="19" t="s">
        <v>65</v>
      </c>
      <c r="D47" s="12" t="n">
        <v>2.5</v>
      </c>
      <c r="E47" s="13" t="n">
        <f aca="false">D47*3</f>
        <v>7.5</v>
      </c>
    </row>
    <row r="48" customFormat="false" ht="12" hidden="false" customHeight="false" outlineLevel="0" collapsed="false">
      <c r="A48" s="11" t="s">
        <v>27</v>
      </c>
      <c r="B48" s="12" t="s">
        <v>28</v>
      </c>
      <c r="C48" s="12" t="s">
        <v>29</v>
      </c>
      <c r="D48" s="12" t="n">
        <v>0.25</v>
      </c>
      <c r="E48" s="13" t="n">
        <f aca="false">D48*3</f>
        <v>0.75</v>
      </c>
    </row>
    <row r="49" customFormat="false" ht="12" hidden="false" customHeight="false" outlineLevel="0" collapsed="false">
      <c r="A49" s="11" t="s">
        <v>30</v>
      </c>
      <c r="B49" s="12" t="s">
        <v>31</v>
      </c>
      <c r="C49" s="12" t="s">
        <v>32</v>
      </c>
      <c r="D49" s="12" t="n">
        <v>1.25</v>
      </c>
      <c r="E49" s="13" t="n">
        <f aca="false">D49*3</f>
        <v>3.75</v>
      </c>
    </row>
    <row r="50" customFormat="false" ht="13" hidden="false" customHeight="false" outlineLevel="0" collapsed="false">
      <c r="A50" s="11" t="s">
        <v>36</v>
      </c>
      <c r="B50" s="12" t="s">
        <v>31</v>
      </c>
      <c r="C50" s="12" t="s">
        <v>32</v>
      </c>
      <c r="D50" s="12" t="n">
        <v>1.25</v>
      </c>
      <c r="E50" s="13" t="n">
        <f aca="false">D50*3</f>
        <v>3.75</v>
      </c>
    </row>
    <row r="51" customFormat="false" ht="13" hidden="false" customHeight="false" outlineLevel="0" collapsed="false">
      <c r="A51" s="11" t="s">
        <v>38</v>
      </c>
      <c r="B51" s="12"/>
      <c r="C51" s="12"/>
      <c r="D51" s="12" t="n">
        <f aca="false">D43+D44+D45+D46+D47+D48+D49+D50</f>
        <v>24</v>
      </c>
      <c r="E51" s="20" t="n">
        <f aca="false">E43+E44+E45+E46+E47+E48+E49+E50</f>
        <v>72</v>
      </c>
    </row>
    <row r="52" customFormat="false" ht="13" hidden="false" customHeight="false" outlineLevel="0" collapsed="false">
      <c r="A52" s="14" t="s">
        <v>39</v>
      </c>
      <c r="B52" s="15"/>
      <c r="C52" s="15"/>
      <c r="D52" s="15"/>
      <c r="E52" s="21" t="n">
        <v>1</v>
      </c>
    </row>
    <row r="53" customFormat="false" ht="14" hidden="false" customHeight="false" outlineLevel="0" collapsed="false"/>
    <row r="54" customFormat="false" ht="14" hidden="false" customHeight="false" outlineLevel="0" collapsed="false">
      <c r="A54" s="1" t="s">
        <v>66</v>
      </c>
      <c r="B54" s="22" t="s">
        <v>67</v>
      </c>
      <c r="C54" s="2"/>
      <c r="D54" s="2"/>
      <c r="E54" s="3"/>
    </row>
    <row r="55" customFormat="false" ht="13" hidden="false" customHeight="false" outlineLevel="0" collapsed="false">
      <c r="A55" s="5" t="s">
        <v>1</v>
      </c>
      <c r="B55" s="6" t="s">
        <v>2</v>
      </c>
      <c r="C55" s="6" t="s">
        <v>3</v>
      </c>
      <c r="D55" s="7" t="s">
        <v>4</v>
      </c>
      <c r="E55" s="8" t="s">
        <v>5</v>
      </c>
      <c r="F55" s="10" t="n">
        <v>8</v>
      </c>
      <c r="I55" s="9"/>
    </row>
    <row r="56" customFormat="false" ht="12" hidden="false" customHeight="false" outlineLevel="0" collapsed="false">
      <c r="A56" s="11" t="s">
        <v>6</v>
      </c>
      <c r="B56" s="12"/>
      <c r="C56" s="12"/>
      <c r="D56" s="12" t="n">
        <v>10.5</v>
      </c>
      <c r="E56" s="13" t="n">
        <f aca="false">D56*F55</f>
        <v>84</v>
      </c>
      <c r="I56" s="9"/>
    </row>
    <row r="57" customFormat="false" ht="12" hidden="false" customHeight="false" outlineLevel="0" collapsed="false">
      <c r="A57" s="11" t="s">
        <v>10</v>
      </c>
      <c r="B57" s="12" t="s">
        <v>11</v>
      </c>
      <c r="C57" s="12" t="s">
        <v>12</v>
      </c>
      <c r="D57" s="12" t="n">
        <v>5</v>
      </c>
      <c r="E57" s="13" t="n">
        <f aca="false">D57*F55</f>
        <v>40</v>
      </c>
      <c r="I57" s="9"/>
    </row>
    <row r="58" customFormat="false" ht="12" hidden="false" customHeight="false" outlineLevel="0" collapsed="false">
      <c r="A58" s="11" t="s">
        <v>16</v>
      </c>
      <c r="B58" s="12" t="s">
        <v>68</v>
      </c>
      <c r="C58" s="12" t="s">
        <v>7</v>
      </c>
      <c r="D58" s="12" t="n">
        <v>2.5</v>
      </c>
      <c r="E58" s="13" t="n">
        <f aca="false">D58*F55</f>
        <v>20</v>
      </c>
      <c r="I58" s="9"/>
    </row>
    <row r="59" customFormat="false" ht="12" hidden="false" customHeight="false" outlineLevel="0" collapsed="false">
      <c r="A59" s="11" t="s">
        <v>23</v>
      </c>
      <c r="B59" s="12" t="s">
        <v>24</v>
      </c>
      <c r="C59" s="12" t="s">
        <v>25</v>
      </c>
      <c r="D59" s="12" t="n">
        <v>0.5</v>
      </c>
      <c r="E59" s="13" t="n">
        <f aca="false">D59*F55</f>
        <v>4</v>
      </c>
    </row>
    <row r="60" customFormat="false" ht="12" hidden="false" customHeight="false" outlineLevel="0" collapsed="false">
      <c r="A60" s="11" t="s">
        <v>46</v>
      </c>
      <c r="B60" s="12" t="s">
        <v>47</v>
      </c>
      <c r="C60" s="12" t="s">
        <v>48</v>
      </c>
      <c r="D60" s="12" t="n">
        <v>2.5</v>
      </c>
      <c r="E60" s="13" t="n">
        <f aca="false">D60*F55</f>
        <v>20</v>
      </c>
    </row>
    <row r="61" customFormat="false" ht="12" hidden="false" customHeight="false" outlineLevel="0" collapsed="false">
      <c r="A61" s="11" t="s">
        <v>69</v>
      </c>
      <c r="B61" s="12" t="s">
        <v>31</v>
      </c>
      <c r="C61" s="12" t="n">
        <v>0.5</v>
      </c>
      <c r="D61" s="12" t="n">
        <v>1.25</v>
      </c>
      <c r="E61" s="13" t="n">
        <f aca="false">D61*F55</f>
        <v>10</v>
      </c>
    </row>
    <row r="62" customFormat="false" ht="12" hidden="false" customHeight="false" outlineLevel="0" collapsed="false">
      <c r="A62" s="11" t="s">
        <v>66</v>
      </c>
      <c r="B62" s="12" t="s">
        <v>31</v>
      </c>
      <c r="C62" s="12" t="n">
        <v>0.5</v>
      </c>
      <c r="D62" s="12" t="n">
        <v>1.25</v>
      </c>
      <c r="E62" s="13" t="n">
        <f aca="false">D62*F55</f>
        <v>10</v>
      </c>
    </row>
    <row r="63" customFormat="false" ht="12" hidden="false" customHeight="false" outlineLevel="0" collapsed="false">
      <c r="A63" s="11" t="s">
        <v>70</v>
      </c>
      <c r="B63" s="12" t="s">
        <v>31</v>
      </c>
      <c r="C63" s="12" t="n">
        <v>0.5</v>
      </c>
      <c r="D63" s="12" t="n">
        <v>1.25</v>
      </c>
      <c r="E63" s="13" t="n">
        <f aca="false">D63*F55</f>
        <v>10</v>
      </c>
    </row>
    <row r="64" customFormat="false" ht="12" hidden="false" customHeight="false" outlineLevel="0" collapsed="false">
      <c r="A64" s="11" t="s">
        <v>27</v>
      </c>
      <c r="B64" s="12" t="s">
        <v>28</v>
      </c>
      <c r="C64" s="12" t="s">
        <v>29</v>
      </c>
      <c r="D64" s="12" t="n">
        <v>0.25</v>
      </c>
      <c r="E64" s="13" t="n">
        <f aca="false">D64*F55</f>
        <v>2</v>
      </c>
    </row>
    <row r="65" customFormat="false" ht="13" hidden="false" customHeight="false" outlineLevel="0" collapsed="false">
      <c r="A65" s="11" t="s">
        <v>38</v>
      </c>
      <c r="B65" s="12"/>
      <c r="C65" s="12"/>
      <c r="D65" s="12" t="n">
        <f aca="false">D56+D57+D58+D59+D64+D60+D61+D62+D63</f>
        <v>25</v>
      </c>
      <c r="E65" s="13" t="n">
        <f aca="false">D65*F55</f>
        <v>200</v>
      </c>
    </row>
    <row r="66" customFormat="false" ht="13" hidden="false" customHeight="false" outlineLevel="0" collapsed="false">
      <c r="A66" s="14" t="s">
        <v>39</v>
      </c>
      <c r="B66" s="15"/>
      <c r="C66" s="15"/>
      <c r="D66" s="15"/>
      <c r="E66" s="16" t="n">
        <v>1</v>
      </c>
    </row>
    <row r="67" customFormat="false" ht="13" hidden="false" customHeight="false" outlineLevel="0" collapsed="false"/>
    <row r="68" customFormat="false" ht="13" hidden="false" customHeight="false" outlineLevel="0" collapsed="false">
      <c r="A68" s="23" t="s">
        <v>71</v>
      </c>
    </row>
    <row r="69" customFormat="false" ht="14" hidden="false" customHeight="false" outlineLevel="0" collapsed="false">
      <c r="A69" s="1" t="s">
        <v>26</v>
      </c>
      <c r="B69" s="2"/>
      <c r="C69" s="2"/>
      <c r="D69" s="2"/>
      <c r="E69" s="3"/>
    </row>
    <row r="70" customFormat="false" ht="13" hidden="false" customHeight="false" outlineLevel="0" collapsed="false">
      <c r="A70" s="5" t="s">
        <v>1</v>
      </c>
      <c r="B70" s="6" t="s">
        <v>2</v>
      </c>
      <c r="C70" s="6" t="s">
        <v>3</v>
      </c>
      <c r="D70" s="7" t="s">
        <v>4</v>
      </c>
      <c r="E70" s="8" t="s">
        <v>5</v>
      </c>
      <c r="F70" s="9" t="n">
        <v>8</v>
      </c>
    </row>
    <row r="71" customFormat="false" ht="12" hidden="false" customHeight="false" outlineLevel="0" collapsed="false">
      <c r="A71" s="11" t="s">
        <v>6</v>
      </c>
      <c r="B71" s="12"/>
      <c r="C71" s="12"/>
      <c r="D71" s="12" t="n">
        <v>13.875</v>
      </c>
      <c r="E71" s="13" t="n">
        <f aca="false">D71*F70</f>
        <v>111</v>
      </c>
      <c r="F71" s="9" t="s">
        <v>7</v>
      </c>
    </row>
    <row r="72" customFormat="false" ht="12" hidden="false" customHeight="false" outlineLevel="0" collapsed="false">
      <c r="A72" s="11" t="s">
        <v>10</v>
      </c>
      <c r="B72" s="12" t="s">
        <v>11</v>
      </c>
      <c r="C72" s="12" t="s">
        <v>12</v>
      </c>
      <c r="D72" s="12" t="n">
        <v>5</v>
      </c>
      <c r="E72" s="13" t="n">
        <f aca="false">D72*F70</f>
        <v>40</v>
      </c>
      <c r="F72" s="9" t="s">
        <v>13</v>
      </c>
    </row>
    <row r="73" customFormat="false" ht="12" hidden="false" customHeight="false" outlineLevel="0" collapsed="false">
      <c r="A73" s="11" t="s">
        <v>16</v>
      </c>
      <c r="B73" s="12" t="s">
        <v>17</v>
      </c>
      <c r="C73" s="12" t="s">
        <v>18</v>
      </c>
      <c r="D73" s="12" t="n">
        <v>2.5</v>
      </c>
      <c r="E73" s="13" t="n">
        <f aca="false">D73*F70</f>
        <v>20</v>
      </c>
      <c r="F73" s="9" t="s">
        <v>13</v>
      </c>
    </row>
    <row r="74" customFormat="false" ht="12" hidden="false" customHeight="false" outlineLevel="0" collapsed="false">
      <c r="A74" s="11" t="s">
        <v>23</v>
      </c>
      <c r="B74" s="12" t="s">
        <v>24</v>
      </c>
      <c r="C74" s="12" t="s">
        <v>25</v>
      </c>
      <c r="D74" s="12" t="n">
        <v>0.625</v>
      </c>
      <c r="E74" s="13" t="n">
        <f aca="false">D74*F70</f>
        <v>5</v>
      </c>
    </row>
    <row r="75" customFormat="false" ht="12" hidden="false" customHeight="false" outlineLevel="0" collapsed="false">
      <c r="A75" s="11" t="s">
        <v>27</v>
      </c>
      <c r="B75" s="12" t="s">
        <v>28</v>
      </c>
      <c r="C75" s="12" t="s">
        <v>29</v>
      </c>
      <c r="D75" s="12" t="n">
        <v>0.5</v>
      </c>
      <c r="E75" s="13" t="n">
        <f aca="false">D75*F70</f>
        <v>4</v>
      </c>
    </row>
    <row r="76" customFormat="false" ht="12" hidden="false" customHeight="false" outlineLevel="0" collapsed="false">
      <c r="A76" s="11" t="s">
        <v>30</v>
      </c>
      <c r="B76" s="12" t="s">
        <v>31</v>
      </c>
      <c r="C76" s="12" t="s">
        <v>32</v>
      </c>
      <c r="D76" s="12" t="n">
        <v>1.25</v>
      </c>
      <c r="E76" s="13" t="n">
        <f aca="false">D76*F70</f>
        <v>10</v>
      </c>
    </row>
    <row r="77" customFormat="false" ht="12" hidden="false" customHeight="false" outlineLevel="0" collapsed="false">
      <c r="A77" s="11" t="s">
        <v>36</v>
      </c>
      <c r="B77" s="12" t="s">
        <v>31</v>
      </c>
      <c r="C77" s="12" t="s">
        <v>32</v>
      </c>
      <c r="D77" s="12" t="n">
        <v>1.25</v>
      </c>
      <c r="E77" s="13" t="n">
        <f aca="false">D77*F70</f>
        <v>10</v>
      </c>
    </row>
    <row r="78" customFormat="false" ht="13" hidden="false" customHeight="false" outlineLevel="0" collapsed="false">
      <c r="A78" s="11" t="s">
        <v>38</v>
      </c>
      <c r="B78" s="12"/>
      <c r="C78" s="12"/>
      <c r="D78" s="12" t="n">
        <f aca="false">D71+D72+D73+D74+D75+D76+D77</f>
        <v>25</v>
      </c>
      <c r="E78" s="13" t="n">
        <f aca="false">D78*F70</f>
        <v>200</v>
      </c>
    </row>
    <row r="79" customFormat="false" ht="13" hidden="false" customHeight="false" outlineLevel="0" collapsed="false">
      <c r="A79" s="14" t="s">
        <v>39</v>
      </c>
      <c r="B79" s="15"/>
      <c r="C79" s="15"/>
      <c r="D79" s="15"/>
      <c r="E79" s="16" t="n">
        <v>1</v>
      </c>
    </row>
    <row r="80" customFormat="false" ht="13" hidden="false" customHeight="false" outlineLevel="0" collapsed="false">
      <c r="A80" s="17"/>
      <c r="B80" s="17"/>
      <c r="C80" s="17"/>
      <c r="D80" s="17"/>
      <c r="E80" s="1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9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1" activeCellId="0" sqref="A1:F27"/>
    </sheetView>
  </sheetViews>
  <sheetFormatPr defaultColWidth="8.82421875" defaultRowHeight="12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2421875" defaultRowHeight="12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2001-06-27T13:01:40Z</dcterms:created>
  <dc:creator>koichiro.ohmura</dc:creator>
  <dc:description/>
  <dc:language>en-US</dc:language>
  <cp:lastModifiedBy>Kitty  Cheung</cp:lastModifiedBy>
  <cp:lastPrinted>2007-05-15T15:01:49Z</cp:lastPrinted>
  <dcterms:modified xsi:type="dcterms:W3CDTF">2005-09-25T13:56:32Z</dcterms:modified>
  <cp:revision>0</cp:revision>
  <dc:subject/>
  <dc:title/>
</cp:coreProperties>
</file>