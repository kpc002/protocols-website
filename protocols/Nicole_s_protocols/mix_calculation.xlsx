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320c7dbb90c53a2/Desktop/"/>
    </mc:Choice>
  </mc:AlternateContent>
  <xr:revisionPtr revIDLastSave="97" documentId="8_{109E6C2D-F067-49E7-B673-8D2E097E307C}" xr6:coauthVersionLast="47" xr6:coauthVersionMax="47" xr10:uidLastSave="{53D01986-1D44-4655-9675-A2E5842640B4}"/>
  <bookViews>
    <workbookView xWindow="-110" yWindow="-110" windowWidth="25820" windowHeight="15500" xr2:uid="{10813A02-1508-C94F-84DE-C2015A7056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1" l="1"/>
  <c r="C7" i="1"/>
  <c r="C9" i="1" s="1"/>
  <c r="C32" i="1"/>
  <c r="C33" i="1" s="1"/>
  <c r="C34" i="1" s="1"/>
  <c r="E20" i="1"/>
  <c r="E17" i="1"/>
  <c r="E16" i="1"/>
  <c r="E15" i="1"/>
  <c r="E14" i="1"/>
  <c r="C8" i="1" l="1"/>
  <c r="E19" i="1"/>
</calcChain>
</file>

<file path=xl/sharedStrings.xml><?xml version="1.0" encoding="utf-8"?>
<sst xmlns="http://schemas.openxmlformats.org/spreadsheetml/2006/main" count="56" uniqueCount="46">
  <si>
    <t>MIX_KO</t>
  </si>
  <si>
    <t>Control</t>
  </si>
  <si>
    <t>M/mL</t>
  </si>
  <si>
    <t>KO</t>
  </si>
  <si>
    <t>n. of mice</t>
  </si>
  <si>
    <t>(+2 mice of excess included)</t>
  </si>
  <si>
    <t>cells/mouse</t>
  </si>
  <si>
    <t>M</t>
  </si>
  <si>
    <t>tot cells</t>
  </si>
  <si>
    <t>mL</t>
  </si>
  <si>
    <t>Stain as below for 5 minutes in MW-96 plate</t>
  </si>
  <si>
    <t># of samples:</t>
  </si>
  <si>
    <t>Marker</t>
  </si>
  <si>
    <t>Label</t>
  </si>
  <si>
    <t>Dilution (1:xxx)</t>
  </si>
  <si>
    <t>Amount (µL)</t>
  </si>
  <si>
    <t>CD8</t>
  </si>
  <si>
    <t>PE-Cy7</t>
  </si>
  <si>
    <t>CD45.1</t>
  </si>
  <si>
    <t>APC</t>
  </si>
  <si>
    <t>CD45.2</t>
  </si>
  <si>
    <t>eF450 (BV421)</t>
  </si>
  <si>
    <t>CD90.2</t>
  </si>
  <si>
    <t>FITC</t>
  </si>
  <si>
    <t>tracrRNA</t>
  </si>
  <si>
    <t>PE</t>
  </si>
  <si>
    <t>n/a</t>
  </si>
  <si>
    <t>100 µL/tube</t>
  </si>
  <si>
    <t>FACS buffer</t>
  </si>
  <si>
    <t>total volume</t>
  </si>
  <si>
    <t xml:space="preserve">Note: we make an excess just in case we need to adjust and restain the cell mix </t>
  </si>
  <si>
    <t>keep channels open for PE</t>
  </si>
  <si>
    <t>Acquire frequency of CD45.1.2 and CD45.2 cells and perform calucations to adjust the mix</t>
  </si>
  <si>
    <t>adjust cell ratio</t>
  </si>
  <si>
    <t>µL to add from the sample with lowest %</t>
  </si>
  <si>
    <t>Stain again as above and check frequency at FACS</t>
  </si>
  <si>
    <t>Once ratio is confirmed count the mixed cells</t>
  </si>
  <si>
    <t>vol/mouse</t>
  </si>
  <si>
    <t>cells</t>
  </si>
  <si>
    <t>resuspend vol</t>
  </si>
  <si>
    <t>mL of PBS</t>
  </si>
  <si>
    <t>injectable mice</t>
  </si>
  <si>
    <t>total mice</t>
  </si>
  <si>
    <r>
      <t xml:space="preserve">Note: divide higher % over lower %; subtract 1; multiply for original volume of </t>
    </r>
    <r>
      <rPr>
        <b/>
        <sz val="10"/>
        <color rgb="FFFF0000"/>
        <rFont val="Arial"/>
        <family val="2"/>
      </rPr>
      <t>cells with lower %</t>
    </r>
  </si>
  <si>
    <t>% of control</t>
  </si>
  <si>
    <t>% of 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</si>
</sst>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right"/>
    </xf>
    <xf numFmtId="3" fontId="1" fillId="2" borderId="5" xfId="0" applyNumberFormat="1" applyFont="1" applyFill="1" applyBorder="1"/>
    <xf numFmtId="3" fontId="1" fillId="0" borderId="0" xfId="0" applyNumberFormat="1" applyFont="1"/>
    <xf numFmtId="0" fontId="1" fillId="0" borderId="0" xfId="0" applyFont="1"/>
    <xf numFmtId="0" fontId="1" fillId="0" borderId="6" xfId="0" applyFont="1" applyBorder="1"/>
    <xf numFmtId="0" fontId="1" fillId="0" borderId="5" xfId="0" applyFont="1" applyBorder="1"/>
    <xf numFmtId="3" fontId="1" fillId="0" borderId="5" xfId="0" applyNumberFormat="1" applyFont="1" applyBorder="1"/>
    <xf numFmtId="2" fontId="1" fillId="0" borderId="5" xfId="0" applyNumberFormat="1" applyFont="1" applyBorder="1"/>
    <xf numFmtId="0" fontId="1" fillId="0" borderId="0" xfId="0" applyFont="1" applyAlignment="1">
      <alignment horizontal="center"/>
    </xf>
    <xf numFmtId="0" fontId="3" fillId="0" borderId="7" xfId="0" applyFont="1" applyBorder="1"/>
    <xf numFmtId="0" fontId="3" fillId="0" borderId="0" xfId="0" applyFont="1"/>
    <xf numFmtId="0" fontId="1" fillId="0" borderId="7" xfId="0" applyFont="1" applyBorder="1"/>
    <xf numFmtId="0" fontId="1" fillId="2" borderId="0" xfId="0" applyFont="1" applyFill="1"/>
    <xf numFmtId="0" fontId="1" fillId="0" borderId="4" xfId="0" applyFont="1" applyBorder="1"/>
    <xf numFmtId="164" fontId="1" fillId="0" borderId="5" xfId="0" applyNumberFormat="1" applyFont="1" applyBorder="1"/>
    <xf numFmtId="2" fontId="1" fillId="0" borderId="0" xfId="0" applyNumberFormat="1" applyFont="1"/>
    <xf numFmtId="0" fontId="4" fillId="0" borderId="0" xfId="0" applyFont="1"/>
    <xf numFmtId="0" fontId="1" fillId="0" borderId="4" xfId="0" applyFont="1" applyBorder="1" applyAlignment="1">
      <alignment horizontal="left"/>
    </xf>
    <xf numFmtId="11" fontId="1" fillId="2" borderId="5" xfId="0" applyNumberFormat="1" applyFont="1" applyFill="1" applyBorder="1"/>
    <xf numFmtId="0" fontId="1" fillId="2" borderId="5" xfId="0" applyFont="1" applyFill="1" applyBorder="1"/>
    <xf numFmtId="0" fontId="1" fillId="0" borderId="8" xfId="0" applyFont="1" applyBorder="1" applyAlignment="1">
      <alignment horizontal="right"/>
    </xf>
    <xf numFmtId="1" fontId="1" fillId="0" borderId="9" xfId="0" applyNumberFormat="1" applyFont="1" applyBorder="1"/>
    <xf numFmtId="0" fontId="1" fillId="0" borderId="9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3F05-6B33-0C46-8D67-8A2C2E94C430}">
  <dimension ref="B1:J35"/>
  <sheetViews>
    <sheetView tabSelected="1" topLeftCell="A13" workbookViewId="0">
      <selection activeCell="C26" sqref="C26"/>
    </sheetView>
  </sheetViews>
  <sheetFormatPr defaultColWidth="10.6640625" defaultRowHeight="15.5" x14ac:dyDescent="0.35"/>
  <cols>
    <col min="2" max="2" width="11.6640625" customWidth="1"/>
  </cols>
  <sheetData>
    <row r="1" spans="2:10" ht="16" thickBot="1" x14ac:dyDescent="0.4"/>
    <row r="2" spans="2:10" x14ac:dyDescent="0.35">
      <c r="B2" s="1"/>
      <c r="C2" s="2" t="s">
        <v>0</v>
      </c>
      <c r="D2" s="3"/>
      <c r="E2" s="3"/>
      <c r="F2" s="3"/>
      <c r="G2" s="3"/>
      <c r="H2" s="3"/>
      <c r="I2" s="3"/>
      <c r="J2" s="4"/>
    </row>
    <row r="3" spans="2:10" x14ac:dyDescent="0.35">
      <c r="B3" s="5" t="s">
        <v>1</v>
      </c>
      <c r="C3" s="6">
        <v>460000</v>
      </c>
      <c r="D3" s="7" t="s">
        <v>2</v>
      </c>
      <c r="E3" s="8"/>
      <c r="F3" s="8"/>
      <c r="G3" s="8"/>
      <c r="H3" s="8"/>
      <c r="I3" s="8"/>
      <c r="J3" s="9"/>
    </row>
    <row r="4" spans="2:10" x14ac:dyDescent="0.35">
      <c r="B4" s="5" t="s">
        <v>3</v>
      </c>
      <c r="C4" s="6">
        <v>430000</v>
      </c>
      <c r="D4" s="7" t="s">
        <v>2</v>
      </c>
      <c r="E4" s="8"/>
      <c r="F4" s="8"/>
      <c r="G4" s="8"/>
      <c r="H4" s="8"/>
      <c r="I4" s="8"/>
      <c r="J4" s="9"/>
    </row>
    <row r="5" spans="2:10" x14ac:dyDescent="0.35">
      <c r="B5" s="5" t="s">
        <v>4</v>
      </c>
      <c r="C5" s="10">
        <v>14</v>
      </c>
      <c r="D5" s="8" t="s">
        <v>5</v>
      </c>
      <c r="E5" s="8"/>
      <c r="F5" s="8"/>
      <c r="G5" s="8"/>
      <c r="H5" s="8"/>
      <c r="I5" s="8"/>
      <c r="J5" s="9"/>
    </row>
    <row r="6" spans="2:10" x14ac:dyDescent="0.35">
      <c r="B6" s="5" t="s">
        <v>6</v>
      </c>
      <c r="C6" s="11">
        <v>200000</v>
      </c>
      <c r="D6" s="8" t="s">
        <v>7</v>
      </c>
      <c r="E6" s="8"/>
      <c r="F6" s="8"/>
      <c r="G6" s="8"/>
      <c r="H6" s="8"/>
      <c r="I6" s="8"/>
      <c r="J6" s="9"/>
    </row>
    <row r="7" spans="2:10" x14ac:dyDescent="0.35">
      <c r="B7" s="5" t="s">
        <v>8</v>
      </c>
      <c r="C7" s="11">
        <f>C5*C6</f>
        <v>2800000</v>
      </c>
      <c r="D7" s="8" t="s">
        <v>7</v>
      </c>
      <c r="E7" s="8"/>
      <c r="F7" s="8"/>
      <c r="G7" s="8"/>
      <c r="H7" s="8"/>
      <c r="I7" s="8"/>
      <c r="J7" s="9"/>
    </row>
    <row r="8" spans="2:10" x14ac:dyDescent="0.35">
      <c r="B8" s="5" t="s">
        <v>1</v>
      </c>
      <c r="C8" s="12">
        <f>((C7/2)/C3)</f>
        <v>3.0434782608695654</v>
      </c>
      <c r="D8" s="8" t="s">
        <v>9</v>
      </c>
      <c r="E8" s="8"/>
      <c r="F8" s="8"/>
      <c r="G8" s="8"/>
      <c r="H8" s="8"/>
      <c r="I8" s="8"/>
      <c r="J8" s="9"/>
    </row>
    <row r="9" spans="2:10" x14ac:dyDescent="0.35">
      <c r="B9" s="5" t="s">
        <v>3</v>
      </c>
      <c r="C9" s="12">
        <f>((C7/2)/C4)</f>
        <v>3.2558139534883721</v>
      </c>
      <c r="D9" s="8" t="s">
        <v>9</v>
      </c>
      <c r="E9" s="8"/>
      <c r="F9" s="8"/>
      <c r="G9" s="8"/>
      <c r="H9" s="13"/>
      <c r="I9" s="13"/>
      <c r="J9" s="9"/>
    </row>
    <row r="10" spans="2:10" x14ac:dyDescent="0.35">
      <c r="B10" s="14"/>
      <c r="C10" s="15"/>
      <c r="D10" s="15"/>
      <c r="E10" s="8"/>
      <c r="F10" s="8"/>
      <c r="G10" s="8"/>
      <c r="H10" s="13"/>
      <c r="I10" s="13"/>
      <c r="J10" s="9"/>
    </row>
    <row r="11" spans="2:10" x14ac:dyDescent="0.35">
      <c r="B11" s="16" t="s">
        <v>10</v>
      </c>
      <c r="C11" s="8"/>
      <c r="D11" s="8"/>
      <c r="E11" s="8"/>
      <c r="F11" s="8"/>
      <c r="G11" s="8"/>
      <c r="H11" s="8"/>
      <c r="I11" s="8"/>
      <c r="J11" s="9"/>
    </row>
    <row r="12" spans="2:10" x14ac:dyDescent="0.35">
      <c r="B12" s="16"/>
      <c r="C12" s="8"/>
      <c r="D12" s="8" t="s">
        <v>11</v>
      </c>
      <c r="E12" s="17">
        <v>10</v>
      </c>
      <c r="F12" s="8"/>
      <c r="G12" s="8"/>
      <c r="H12" s="8"/>
      <c r="I12" s="8"/>
      <c r="J12" s="9"/>
    </row>
    <row r="13" spans="2:10" x14ac:dyDescent="0.35">
      <c r="B13" s="18" t="s">
        <v>12</v>
      </c>
      <c r="C13" s="10" t="s">
        <v>13</v>
      </c>
      <c r="D13" s="10" t="s">
        <v>14</v>
      </c>
      <c r="E13" s="10" t="s">
        <v>15</v>
      </c>
      <c r="F13" s="8"/>
      <c r="G13" s="8"/>
      <c r="H13" s="8"/>
      <c r="I13" s="8"/>
      <c r="J13" s="9"/>
    </row>
    <row r="14" spans="2:10" x14ac:dyDescent="0.35">
      <c r="B14" s="18" t="s">
        <v>16</v>
      </c>
      <c r="C14" s="10" t="s">
        <v>17</v>
      </c>
      <c r="D14" s="10">
        <v>200</v>
      </c>
      <c r="E14" s="19">
        <f t="shared" ref="E14:E17" si="0">E$131/D14</f>
        <v>0</v>
      </c>
      <c r="F14" s="8"/>
      <c r="G14" s="8"/>
      <c r="H14" s="8"/>
      <c r="I14" s="8"/>
      <c r="J14" s="9"/>
    </row>
    <row r="15" spans="2:10" x14ac:dyDescent="0.35">
      <c r="B15" s="18" t="s">
        <v>18</v>
      </c>
      <c r="C15" s="10" t="s">
        <v>19</v>
      </c>
      <c r="D15" s="10">
        <v>200</v>
      </c>
      <c r="E15" s="19">
        <f t="shared" si="0"/>
        <v>0</v>
      </c>
      <c r="F15" s="8"/>
      <c r="G15" s="8"/>
      <c r="H15" s="8"/>
      <c r="I15" s="8"/>
      <c r="J15" s="9"/>
    </row>
    <row r="16" spans="2:10" x14ac:dyDescent="0.35">
      <c r="B16" s="18" t="s">
        <v>20</v>
      </c>
      <c r="C16" s="10" t="s">
        <v>21</v>
      </c>
      <c r="D16" s="10">
        <v>200</v>
      </c>
      <c r="E16" s="19">
        <f t="shared" si="0"/>
        <v>0</v>
      </c>
      <c r="F16" s="8"/>
      <c r="G16" s="8"/>
      <c r="H16" s="8"/>
      <c r="I16" s="8"/>
      <c r="J16" s="9"/>
    </row>
    <row r="17" spans="2:10" x14ac:dyDescent="0.35">
      <c r="B17" s="18" t="s">
        <v>22</v>
      </c>
      <c r="C17" s="10" t="s">
        <v>23</v>
      </c>
      <c r="D17" s="10">
        <v>1000</v>
      </c>
      <c r="E17" s="19">
        <f t="shared" si="0"/>
        <v>0</v>
      </c>
      <c r="F17" s="8"/>
      <c r="G17" s="8"/>
      <c r="H17" s="8"/>
      <c r="I17" s="8"/>
      <c r="J17" s="9"/>
    </row>
    <row r="18" spans="2:10" x14ac:dyDescent="0.35">
      <c r="B18" s="18" t="s">
        <v>24</v>
      </c>
      <c r="C18" s="10" t="s">
        <v>25</v>
      </c>
      <c r="D18" s="10" t="s">
        <v>26</v>
      </c>
      <c r="E18" s="10" t="s">
        <v>26</v>
      </c>
      <c r="F18" s="8"/>
      <c r="G18" s="8"/>
      <c r="H18" s="8"/>
      <c r="I18" s="8"/>
      <c r="J18" s="9"/>
    </row>
    <row r="19" spans="2:10" x14ac:dyDescent="0.35">
      <c r="B19" s="16" t="s">
        <v>27</v>
      </c>
      <c r="C19" s="8"/>
      <c r="D19" s="8" t="s">
        <v>28</v>
      </c>
      <c r="E19" s="20">
        <f>E20-SUM(E14:E18)</f>
        <v>1000</v>
      </c>
      <c r="F19" s="8"/>
      <c r="G19" s="8"/>
      <c r="H19" s="8"/>
      <c r="I19" s="8"/>
      <c r="J19" s="9"/>
    </row>
    <row r="20" spans="2:10" x14ac:dyDescent="0.35">
      <c r="B20" s="16"/>
      <c r="C20" s="8"/>
      <c r="D20" s="8" t="s">
        <v>29</v>
      </c>
      <c r="E20" s="8">
        <f>100*E12</f>
        <v>1000</v>
      </c>
      <c r="F20" s="21" t="s">
        <v>30</v>
      </c>
      <c r="G20" s="8"/>
      <c r="H20" s="8"/>
      <c r="I20" s="8"/>
      <c r="J20" s="9"/>
    </row>
    <row r="21" spans="2:10" x14ac:dyDescent="0.35">
      <c r="B21" s="16" t="s">
        <v>31</v>
      </c>
      <c r="C21" s="8"/>
      <c r="D21" s="8"/>
      <c r="E21" s="8"/>
      <c r="F21" s="8"/>
      <c r="G21" s="8"/>
      <c r="H21" s="8"/>
      <c r="I21" s="8"/>
      <c r="J21" s="9"/>
    </row>
    <row r="22" spans="2:10" x14ac:dyDescent="0.35">
      <c r="B22" s="16" t="s">
        <v>32</v>
      </c>
      <c r="C22" s="8"/>
      <c r="D22" s="8"/>
      <c r="E22" s="8"/>
      <c r="F22" s="8"/>
      <c r="G22" s="8"/>
      <c r="H22" s="8"/>
      <c r="I22" s="8"/>
      <c r="J22" s="9"/>
    </row>
    <row r="23" spans="2:10" x14ac:dyDescent="0.35">
      <c r="B23" s="16" t="s">
        <v>44</v>
      </c>
      <c r="C23" s="8">
        <v>53.3</v>
      </c>
      <c r="D23" s="8"/>
      <c r="E23" s="8"/>
      <c r="F23" s="8"/>
      <c r="G23" s="8"/>
      <c r="H23" s="8"/>
      <c r="I23" s="8"/>
      <c r="J23" s="9"/>
    </row>
    <row r="24" spans="2:10" x14ac:dyDescent="0.35">
      <c r="B24" s="16" t="s">
        <v>45</v>
      </c>
      <c r="C24" s="8">
        <v>45.6</v>
      </c>
      <c r="D24" s="8"/>
      <c r="E24" s="8"/>
      <c r="F24" s="8"/>
      <c r="G24" s="8"/>
      <c r="H24" s="8"/>
      <c r="I24" s="8"/>
      <c r="J24" s="9"/>
    </row>
    <row r="25" spans="2:10" x14ac:dyDescent="0.35">
      <c r="B25" s="16" t="s">
        <v>33</v>
      </c>
      <c r="C25" s="20">
        <f>(((C23/C24)-1)*C9)*1000</f>
        <v>549.77560179518537</v>
      </c>
      <c r="D25" s="8" t="s">
        <v>34</v>
      </c>
      <c r="E25" s="8"/>
      <c r="F25" s="8"/>
      <c r="G25" s="8"/>
      <c r="H25" s="8"/>
      <c r="I25" s="8"/>
      <c r="J25" s="9"/>
    </row>
    <row r="26" spans="2:10" x14ac:dyDescent="0.35">
      <c r="B26" s="16"/>
      <c r="C26" s="8"/>
      <c r="D26" s="21" t="s">
        <v>43</v>
      </c>
      <c r="E26" s="8"/>
      <c r="F26" s="8"/>
      <c r="G26" s="8"/>
      <c r="H26" s="8"/>
      <c r="I26" s="8"/>
      <c r="J26" s="9"/>
    </row>
    <row r="27" spans="2:10" x14ac:dyDescent="0.35">
      <c r="B27" s="16" t="s">
        <v>35</v>
      </c>
      <c r="C27" s="8"/>
      <c r="D27" s="8"/>
      <c r="E27" s="8"/>
      <c r="F27" s="8"/>
      <c r="G27" s="8"/>
      <c r="H27" s="8"/>
      <c r="I27" s="8"/>
      <c r="J27" s="9"/>
    </row>
    <row r="28" spans="2:10" x14ac:dyDescent="0.35">
      <c r="B28" s="16" t="s">
        <v>36</v>
      </c>
      <c r="C28" s="8"/>
      <c r="D28" s="8"/>
      <c r="E28" s="8"/>
      <c r="F28" s="8"/>
      <c r="G28" s="8"/>
      <c r="H28" s="8"/>
      <c r="I28" s="8"/>
      <c r="J28" s="9"/>
    </row>
    <row r="29" spans="2:10" x14ac:dyDescent="0.35">
      <c r="B29" s="22" t="s">
        <v>8</v>
      </c>
      <c r="C29" s="23">
        <v>14000000</v>
      </c>
      <c r="D29" s="8"/>
      <c r="E29" s="8"/>
      <c r="F29" s="8"/>
      <c r="G29" s="8"/>
      <c r="H29" s="13"/>
      <c r="I29" s="13"/>
      <c r="J29" s="9"/>
    </row>
    <row r="30" spans="2:10" x14ac:dyDescent="0.35">
      <c r="B30" s="18" t="s">
        <v>37</v>
      </c>
      <c r="C30" s="24">
        <v>0.2</v>
      </c>
      <c r="D30" s="8" t="s">
        <v>9</v>
      </c>
      <c r="E30" s="8"/>
      <c r="F30" s="8"/>
      <c r="G30" s="8"/>
      <c r="H30" s="13"/>
      <c r="I30" s="13"/>
      <c r="J30" s="9"/>
    </row>
    <row r="31" spans="2:10" x14ac:dyDescent="0.35">
      <c r="B31" s="18" t="s">
        <v>6</v>
      </c>
      <c r="C31" s="6">
        <v>500000</v>
      </c>
      <c r="D31" s="8" t="s">
        <v>38</v>
      </c>
      <c r="E31" s="8"/>
      <c r="F31" s="8"/>
      <c r="H31" s="13"/>
      <c r="I31" s="13"/>
      <c r="J31" s="9"/>
    </row>
    <row r="32" spans="2:10" x14ac:dyDescent="0.35">
      <c r="B32" s="18" t="s">
        <v>39</v>
      </c>
      <c r="C32" s="12">
        <f>(C29*C30)/C31</f>
        <v>5.6</v>
      </c>
      <c r="D32" s="8" t="s">
        <v>40</v>
      </c>
      <c r="E32" s="8"/>
      <c r="F32" s="8"/>
      <c r="G32" s="8"/>
      <c r="H32" s="13"/>
      <c r="I32" s="13"/>
      <c r="J32" s="9"/>
    </row>
    <row r="33" spans="2:10" x14ac:dyDescent="0.35">
      <c r="B33" s="18" t="s">
        <v>41</v>
      </c>
      <c r="C33" s="19">
        <f>C32/0.2</f>
        <v>27.999999999999996</v>
      </c>
      <c r="D33" s="8" t="s">
        <v>42</v>
      </c>
      <c r="E33" s="8"/>
      <c r="F33" s="8"/>
      <c r="G33" s="8"/>
      <c r="H33" s="13"/>
      <c r="I33" s="13"/>
      <c r="J33" s="9"/>
    </row>
    <row r="34" spans="2:10" x14ac:dyDescent="0.35">
      <c r="B34" s="18" t="s">
        <v>6</v>
      </c>
      <c r="C34" s="11">
        <f>C29/C33</f>
        <v>500000.00000000006</v>
      </c>
      <c r="D34" s="8"/>
      <c r="E34" s="8"/>
      <c r="F34" s="8"/>
      <c r="G34" s="8"/>
      <c r="H34" s="13"/>
      <c r="I34" s="13"/>
      <c r="J34" s="9"/>
    </row>
    <row r="35" spans="2:10" ht="16" thickBot="1" x14ac:dyDescent="0.4">
      <c r="B35" s="25"/>
      <c r="C35" s="26"/>
      <c r="D35" s="27"/>
      <c r="E35" s="27"/>
      <c r="F35" s="27"/>
      <c r="G35" s="27"/>
      <c r="H35" s="28"/>
      <c r="I35" s="27"/>
      <c r="J35" s="2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Galletti, Giovanni</dc:creator>
  <cp:lastModifiedBy>Nicole Scharping</cp:lastModifiedBy>
  <dcterms:created xsi:type="dcterms:W3CDTF">2025-08-05T23:05:38Z</dcterms:created>
  <dcterms:modified xsi:type="dcterms:W3CDTF">2026-06-24T22:15:00Z</dcterms:modified>
</cp:coreProperties>
</file>