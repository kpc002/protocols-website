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ular" sheetId="1" r:id="rId4"/>
    <sheet state="visible" name="low_input" sheetId="2" r:id="rId5"/>
  </sheets>
  <definedNames/>
  <calcPr/>
  <extLst>
    <ext uri="GoogleSheetsCustomDataVersion2">
      <go:sheetsCustomData xmlns:go="http://customooxmlschemas.google.com/" r:id="rId6" roundtripDataChecksum="mqm31p0Yc1WPV14abtp2pQpL9ayhtM9gK//MGEDVjyU="/>
    </ext>
  </extLst>
</workbook>
</file>

<file path=xl/sharedStrings.xml><?xml version="1.0" encoding="utf-8"?>
<sst xmlns="http://schemas.openxmlformats.org/spreadsheetml/2006/main" count="165" uniqueCount="47">
  <si>
    <t>"Sample - Primers"</t>
  </si>
  <si>
    <t>Gna13 Mix</t>
  </si>
  <si>
    <t>SP C</t>
  </si>
  <si>
    <t>SP K</t>
  </si>
  <si>
    <t>SI C</t>
  </si>
  <si>
    <t>SI K</t>
  </si>
  <si>
    <t>LIV C</t>
  </si>
  <si>
    <t>LIV K</t>
  </si>
  <si>
    <t>Actin Mix</t>
  </si>
  <si>
    <t>1X MM recipe</t>
  </si>
  <si>
    <t>actin MM</t>
  </si>
  <si>
    <t>Gna13 MM</t>
  </si>
  <si>
    <t>uL SYBR green</t>
  </si>
  <si>
    <t>uL F primer (20uM)</t>
  </si>
  <si>
    <t>uL R primer (20uM)</t>
  </si>
  <si>
    <t>uL ddH20</t>
  </si>
  <si>
    <t>uL cDNA</t>
  </si>
  <si>
    <t>wells per mix:</t>
  </si>
  <si>
    <t xml:space="preserve"> *** dilute DNA 1:5 *** (calculation below)</t>
  </si>
  <si>
    <t>** Dilute primers 1:5 for 20uM working mix ** (calculation below)</t>
  </si>
  <si>
    <t>sample dilution</t>
  </si>
  <si>
    <t>CTRL DNA each = 40 ul total cDNA needed --&gt; 8 uL cDNA + 32 uL H2O = 40 uL working cDNA --&gt; 3 ul cDNA/well</t>
  </si>
  <si>
    <t>expt groups each = 40 ul total cDNA needed --&gt; 8 uL cDNA + 32 uL H2O = 40 uL working cDNA --&gt; 3 ul cDNA/well</t>
  </si>
  <si>
    <t>wells</t>
  </si>
  <si>
    <t>wells+extra</t>
  </si>
  <si>
    <t>total cDNA µL</t>
  </si>
  <si>
    <t>take cDNA µL</t>
  </si>
  <si>
    <t>add water µL</t>
  </si>
  <si>
    <t>gna15_K</t>
  </si>
  <si>
    <t>gna15_C</t>
  </si>
  <si>
    <t>Bhlh_t1_K</t>
  </si>
  <si>
    <t>Bhlh_t1_C</t>
  </si>
  <si>
    <t>Bhlh_t2_K</t>
  </si>
  <si>
    <t>Bhlh_t2_C</t>
  </si>
  <si>
    <t>primer dilution from stock 100 µM</t>
  </si>
  <si>
    <t>Need 40 µL per mix = 8 ul primer stock + 32 ul H2O PER FWD AND REV</t>
  </si>
  <si>
    <t>volume needed µL</t>
  </si>
  <si>
    <t>take primer µL</t>
  </si>
  <si>
    <t>actin</t>
  </si>
  <si>
    <t>for each FW and REV</t>
  </si>
  <si>
    <t>gna15</t>
  </si>
  <si>
    <t>bhlhe40</t>
  </si>
  <si>
    <t>gna13</t>
  </si>
  <si>
    <t>you plate 3 ul cDNA + 27 ul primer MM</t>
  </si>
  <si>
    <t>Optimized for low input (at least 5,000 cells ex vivo sorted cells from tissues)</t>
  </si>
  <si>
    <t>undiluted cDNA</t>
  </si>
  <si>
    <t>you plate 2 ul cDNA + 18 ul primer 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</si>
</sst>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u/>
      <sz val="11.0"/>
      <color theme="1"/>
      <name val="Calibri"/>
    </font>
    <font>
      <u/>
      <sz val="11.0"/>
      <color theme="1"/>
      <name val="Calibri"/>
    </font>
    <font/>
    <font>
      <color theme="1"/>
      <name val="Calibri"/>
      <scheme val="minor"/>
    </font>
    <font>
      <b/>
      <sz val="11.0"/>
      <color rgb="FFFF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Font="1"/>
    <xf borderId="0" fillId="0" fontId="2" numFmtId="0" xfId="0" applyAlignment="1" applyFont="1">
      <alignment horizontal="right"/>
    </xf>
    <xf borderId="1" fillId="2" fontId="2" numFmtId="0" xfId="0" applyBorder="1" applyFill="1" applyFont="1"/>
    <xf borderId="1" fillId="3" fontId="2" numFmtId="0" xfId="0" applyBorder="1" applyFill="1" applyFont="1"/>
    <xf borderId="1" fillId="4" fontId="2" numFmtId="0" xfId="0" applyBorder="1" applyFill="1" applyFont="1"/>
    <xf borderId="2" fillId="0" fontId="1" numFmtId="0" xfId="0" applyBorder="1" applyFont="1"/>
    <xf borderId="3" fillId="0" fontId="4" numFmtId="0" xfId="0" applyAlignment="1" applyBorder="1" applyFont="1">
      <alignment horizontal="center"/>
    </xf>
    <xf borderId="4" fillId="0" fontId="5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0" fillId="0" fontId="6" numFmtId="0" xfId="0" applyFont="1"/>
    <xf borderId="1" fillId="5" fontId="1" numFmtId="0" xfId="0" applyBorder="1" applyFill="1" applyFont="1"/>
    <xf borderId="1" fillId="0" fontId="2" numFmtId="0" xfId="0" applyBorder="1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8.86"/>
    <col customWidth="1" min="3" max="14" width="15.14"/>
    <col customWidth="1" min="15" max="15" width="9.29"/>
    <col customWidth="1" min="16" max="26" width="8.86"/>
  </cols>
  <sheetData>
    <row r="2">
      <c r="A2" s="1" t="s">
        <v>0</v>
      </c>
      <c r="C2" s="2">
        <v>1.0</v>
      </c>
      <c r="D2" s="2">
        <v>2.0</v>
      </c>
      <c r="E2" s="2">
        <v>3.0</v>
      </c>
      <c r="F2" s="2">
        <v>4.0</v>
      </c>
      <c r="G2" s="2">
        <v>5.0</v>
      </c>
      <c r="H2" s="2">
        <v>6.0</v>
      </c>
      <c r="I2" s="2">
        <v>7.0</v>
      </c>
      <c r="J2" s="2">
        <v>8.0</v>
      </c>
      <c r="K2" s="2">
        <v>9.0</v>
      </c>
      <c r="L2" s="2">
        <v>10.0</v>
      </c>
      <c r="M2" s="2">
        <v>11.0</v>
      </c>
      <c r="N2" s="2">
        <v>12.0</v>
      </c>
    </row>
    <row r="3">
      <c r="A3" s="3"/>
      <c r="B3" s="4" t="s">
        <v>1</v>
      </c>
      <c r="C3" s="5" t="s">
        <v>2</v>
      </c>
      <c r="D3" s="5" t="s">
        <v>2</v>
      </c>
      <c r="E3" s="5" t="s">
        <v>2</v>
      </c>
      <c r="F3" s="6" t="s">
        <v>3</v>
      </c>
      <c r="G3" s="6" t="s">
        <v>3</v>
      </c>
      <c r="H3" s="6" t="s">
        <v>3</v>
      </c>
      <c r="I3" s="7"/>
      <c r="J3" s="7"/>
      <c r="K3" s="7"/>
      <c r="L3" s="7"/>
      <c r="M3" s="7"/>
      <c r="N3" s="7"/>
      <c r="O3" s="8"/>
    </row>
    <row r="4">
      <c r="A4" s="3"/>
      <c r="B4" s="4" t="s">
        <v>1</v>
      </c>
      <c r="C4" s="5" t="s">
        <v>4</v>
      </c>
      <c r="D4" s="5" t="s">
        <v>4</v>
      </c>
      <c r="E4" s="5" t="s">
        <v>4</v>
      </c>
      <c r="F4" s="6" t="s">
        <v>5</v>
      </c>
      <c r="G4" s="6" t="s">
        <v>5</v>
      </c>
      <c r="H4" s="6" t="s">
        <v>5</v>
      </c>
      <c r="I4" s="7"/>
      <c r="J4" s="7"/>
      <c r="K4" s="7"/>
      <c r="L4" s="7"/>
      <c r="M4" s="7"/>
      <c r="N4" s="7"/>
      <c r="O4" s="8"/>
    </row>
    <row r="5">
      <c r="A5" s="3"/>
      <c r="B5" s="4" t="s">
        <v>1</v>
      </c>
      <c r="C5" s="5" t="s">
        <v>6</v>
      </c>
      <c r="D5" s="5" t="s">
        <v>6</v>
      </c>
      <c r="E5" s="5" t="s">
        <v>6</v>
      </c>
      <c r="F5" s="6" t="s">
        <v>7</v>
      </c>
      <c r="G5" s="6" t="s">
        <v>7</v>
      </c>
      <c r="H5" s="6" t="s">
        <v>7</v>
      </c>
      <c r="I5" s="7"/>
      <c r="J5" s="7"/>
      <c r="K5" s="7"/>
      <c r="L5" s="7"/>
      <c r="M5" s="7"/>
      <c r="N5" s="7"/>
      <c r="O5" s="8"/>
    </row>
    <row r="6">
      <c r="A6" s="3"/>
      <c r="B6" s="4" t="s">
        <v>8</v>
      </c>
      <c r="C6" s="5" t="s">
        <v>2</v>
      </c>
      <c r="D6" s="5" t="s">
        <v>2</v>
      </c>
      <c r="E6" s="5" t="s">
        <v>2</v>
      </c>
      <c r="F6" s="6" t="s">
        <v>3</v>
      </c>
      <c r="G6" s="6" t="s">
        <v>3</v>
      </c>
      <c r="H6" s="6" t="s">
        <v>3</v>
      </c>
      <c r="I6" s="7"/>
      <c r="J6" s="7"/>
      <c r="K6" s="7"/>
      <c r="L6" s="7"/>
      <c r="M6" s="7"/>
      <c r="N6" s="7"/>
      <c r="O6" s="8"/>
    </row>
    <row r="7">
      <c r="B7" s="4" t="s">
        <v>8</v>
      </c>
      <c r="C7" s="5" t="s">
        <v>4</v>
      </c>
      <c r="D7" s="5" t="s">
        <v>4</v>
      </c>
      <c r="E7" s="5" t="s">
        <v>4</v>
      </c>
      <c r="F7" s="6" t="s">
        <v>5</v>
      </c>
      <c r="G7" s="6" t="s">
        <v>5</v>
      </c>
      <c r="H7" s="6" t="s">
        <v>5</v>
      </c>
      <c r="I7" s="7"/>
      <c r="J7" s="7"/>
      <c r="K7" s="7"/>
      <c r="L7" s="7"/>
      <c r="M7" s="7"/>
      <c r="N7" s="7"/>
      <c r="O7" s="1"/>
    </row>
    <row r="8">
      <c r="B8" s="4" t="s">
        <v>8</v>
      </c>
      <c r="C8" s="5" t="s">
        <v>6</v>
      </c>
      <c r="D8" s="5" t="s">
        <v>6</v>
      </c>
      <c r="E8" s="5" t="s">
        <v>6</v>
      </c>
      <c r="F8" s="6" t="s">
        <v>7</v>
      </c>
      <c r="G8" s="6" t="s">
        <v>7</v>
      </c>
      <c r="H8" s="6" t="s">
        <v>7</v>
      </c>
      <c r="I8" s="7"/>
      <c r="J8" s="7"/>
      <c r="K8" s="7"/>
      <c r="L8" s="7"/>
      <c r="M8" s="7"/>
      <c r="N8" s="7"/>
      <c r="O8" s="1"/>
    </row>
    <row r="9">
      <c r="B9" s="4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1"/>
    </row>
    <row r="10">
      <c r="B10" s="4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1"/>
    </row>
    <row r="12">
      <c r="C12" s="9" t="s">
        <v>9</v>
      </c>
      <c r="D12" s="10"/>
      <c r="E12" s="9" t="s">
        <v>10</v>
      </c>
      <c r="F12" s="10"/>
      <c r="G12" s="9" t="s">
        <v>11</v>
      </c>
      <c r="H12" s="10"/>
    </row>
    <row r="13">
      <c r="C13" s="11">
        <v>12.5</v>
      </c>
      <c r="D13" s="12" t="s">
        <v>12</v>
      </c>
      <c r="E13" s="11">
        <f t="shared" ref="E13:E16" si="1">$C13*$F$18</f>
        <v>350</v>
      </c>
      <c r="F13" s="12" t="s">
        <v>12</v>
      </c>
      <c r="G13" s="11">
        <f t="shared" ref="G13:G16" si="2">$C13*$H$18</f>
        <v>187.5</v>
      </c>
      <c r="H13" s="12" t="s">
        <v>12</v>
      </c>
    </row>
    <row r="14">
      <c r="C14" s="11">
        <v>1.25</v>
      </c>
      <c r="D14" s="12" t="s">
        <v>13</v>
      </c>
      <c r="E14" s="11">
        <f t="shared" si="1"/>
        <v>35</v>
      </c>
      <c r="F14" s="12" t="s">
        <v>13</v>
      </c>
      <c r="G14" s="11">
        <f t="shared" si="2"/>
        <v>18.75</v>
      </c>
      <c r="H14" s="12" t="s">
        <v>13</v>
      </c>
    </row>
    <row r="15">
      <c r="C15" s="11">
        <v>1.25</v>
      </c>
      <c r="D15" s="12" t="s">
        <v>14</v>
      </c>
      <c r="E15" s="11">
        <f t="shared" si="1"/>
        <v>35</v>
      </c>
      <c r="F15" s="12" t="s">
        <v>14</v>
      </c>
      <c r="G15" s="11">
        <f t="shared" si="2"/>
        <v>18.75</v>
      </c>
      <c r="H15" s="12" t="s">
        <v>14</v>
      </c>
    </row>
    <row r="16">
      <c r="C16" s="11">
        <v>12.0</v>
      </c>
      <c r="D16" s="12" t="s">
        <v>15</v>
      </c>
      <c r="E16" s="13">
        <f t="shared" si="1"/>
        <v>336</v>
      </c>
      <c r="F16" s="14" t="s">
        <v>15</v>
      </c>
      <c r="G16" s="13">
        <f t="shared" si="2"/>
        <v>180</v>
      </c>
      <c r="H16" s="14" t="s">
        <v>15</v>
      </c>
    </row>
    <row r="17">
      <c r="C17" s="11"/>
      <c r="D17" s="12"/>
    </row>
    <row r="18">
      <c r="C18" s="13">
        <v>3.0</v>
      </c>
      <c r="D18" s="14" t="s">
        <v>16</v>
      </c>
      <c r="E18" s="4" t="s">
        <v>17</v>
      </c>
      <c r="F18" s="15">
        <v>28.0</v>
      </c>
      <c r="G18" s="4" t="s">
        <v>17</v>
      </c>
      <c r="H18" s="15">
        <v>15.0</v>
      </c>
    </row>
    <row r="20">
      <c r="C20" s="15" t="s">
        <v>18</v>
      </c>
    </row>
    <row r="21" ht="15.75" customHeight="1">
      <c r="C21" s="15" t="s">
        <v>19</v>
      </c>
    </row>
    <row r="22" ht="15.75" customHeight="1"/>
    <row r="23" ht="15.75" customHeight="1">
      <c r="C23" s="1" t="s">
        <v>20</v>
      </c>
    </row>
    <row r="24" ht="15.75" customHeight="1">
      <c r="C24" s="15" t="s">
        <v>21</v>
      </c>
    </row>
    <row r="25" ht="15.75" customHeight="1">
      <c r="C25" s="15" t="s">
        <v>22</v>
      </c>
    </row>
    <row r="26" ht="15.75" customHeight="1">
      <c r="D26" s="15" t="s">
        <v>23</v>
      </c>
      <c r="E26" s="15" t="s">
        <v>24</v>
      </c>
      <c r="F26" s="15" t="s">
        <v>25</v>
      </c>
      <c r="G26" s="16" t="s">
        <v>26</v>
      </c>
      <c r="H26" s="16" t="s">
        <v>27</v>
      </c>
    </row>
    <row r="27" ht="15.75" customHeight="1">
      <c r="C27" s="15" t="s">
        <v>28</v>
      </c>
      <c r="D27" s="15">
        <v>10.0</v>
      </c>
      <c r="E27" s="15">
        <v>15.0</v>
      </c>
      <c r="F27" s="15">
        <f t="shared" ref="F27:F32" si="3">$C$18*E27</f>
        <v>45</v>
      </c>
      <c r="G27" s="17">
        <f t="shared" ref="G27:G32" si="4">F27/5</f>
        <v>9</v>
      </c>
      <c r="H27" s="17">
        <f t="shared" ref="H27:H32" si="5">F27-G27</f>
        <v>36</v>
      </c>
    </row>
    <row r="28" ht="15.75" customHeight="1">
      <c r="C28" s="15" t="s">
        <v>29</v>
      </c>
      <c r="D28" s="15">
        <v>6.0</v>
      </c>
      <c r="E28" s="15">
        <v>11.0</v>
      </c>
      <c r="F28" s="15">
        <f t="shared" si="3"/>
        <v>33</v>
      </c>
      <c r="G28" s="17">
        <f t="shared" si="4"/>
        <v>6.6</v>
      </c>
      <c r="H28" s="17">
        <f t="shared" si="5"/>
        <v>26.4</v>
      </c>
    </row>
    <row r="29" ht="15.75" customHeight="1">
      <c r="C29" s="15" t="s">
        <v>30</v>
      </c>
      <c r="D29" s="15">
        <v>9.0</v>
      </c>
      <c r="E29" s="15">
        <v>14.0</v>
      </c>
      <c r="F29" s="15">
        <f t="shared" si="3"/>
        <v>42</v>
      </c>
      <c r="G29" s="17">
        <f t="shared" si="4"/>
        <v>8.4</v>
      </c>
      <c r="H29" s="17">
        <f t="shared" si="5"/>
        <v>33.6</v>
      </c>
    </row>
    <row r="30" ht="15.75" customHeight="1">
      <c r="C30" s="15" t="s">
        <v>31</v>
      </c>
      <c r="D30" s="15">
        <v>13.0</v>
      </c>
      <c r="E30" s="15">
        <v>18.0</v>
      </c>
      <c r="F30" s="15">
        <f t="shared" si="3"/>
        <v>54</v>
      </c>
      <c r="G30" s="17">
        <f t="shared" si="4"/>
        <v>10.8</v>
      </c>
      <c r="H30" s="17">
        <f t="shared" si="5"/>
        <v>43.2</v>
      </c>
    </row>
    <row r="31" ht="15.75" customHeight="1">
      <c r="C31" s="15" t="s">
        <v>32</v>
      </c>
      <c r="D31" s="15">
        <v>9.0</v>
      </c>
      <c r="E31" s="15">
        <v>14.0</v>
      </c>
      <c r="F31" s="15">
        <f t="shared" si="3"/>
        <v>42</v>
      </c>
      <c r="G31" s="17">
        <f t="shared" si="4"/>
        <v>8.4</v>
      </c>
      <c r="H31" s="17">
        <f t="shared" si="5"/>
        <v>33.6</v>
      </c>
    </row>
    <row r="32" ht="15.75" customHeight="1">
      <c r="C32" s="15" t="s">
        <v>33</v>
      </c>
      <c r="D32" s="15">
        <v>9.0</v>
      </c>
      <c r="E32" s="15">
        <v>14.0</v>
      </c>
      <c r="F32" s="15">
        <f t="shared" si="3"/>
        <v>42</v>
      </c>
      <c r="G32" s="17">
        <f t="shared" si="4"/>
        <v>8.4</v>
      </c>
      <c r="H32" s="17">
        <f t="shared" si="5"/>
        <v>33.6</v>
      </c>
    </row>
    <row r="33" ht="15.75" customHeight="1"/>
    <row r="34" ht="15.75" customHeight="1">
      <c r="C34" s="1" t="s">
        <v>34</v>
      </c>
    </row>
    <row r="35" ht="15.75" customHeight="1">
      <c r="C35" s="15" t="s">
        <v>35</v>
      </c>
    </row>
    <row r="36" ht="15.75" customHeight="1">
      <c r="D36" s="15" t="s">
        <v>36</v>
      </c>
      <c r="E36" s="16" t="s">
        <v>37</v>
      </c>
      <c r="F36" s="16" t="s">
        <v>27</v>
      </c>
    </row>
    <row r="37" ht="15.75" customHeight="1">
      <c r="C37" s="15" t="s">
        <v>38</v>
      </c>
      <c r="D37" s="15">
        <f>E14</f>
        <v>35</v>
      </c>
      <c r="E37" s="17">
        <f t="shared" ref="E37:E40" si="6">D37/5</f>
        <v>7</v>
      </c>
      <c r="F37" s="17">
        <f t="shared" ref="F37:F40" si="7">D37-E37</f>
        <v>28</v>
      </c>
      <c r="G37" s="15" t="s">
        <v>39</v>
      </c>
    </row>
    <row r="38" ht="15.75" customHeight="1">
      <c r="C38" s="15" t="s">
        <v>40</v>
      </c>
      <c r="D38" s="15">
        <f>G14</f>
        <v>18.75</v>
      </c>
      <c r="E38" s="17">
        <f t="shared" si="6"/>
        <v>3.75</v>
      </c>
      <c r="F38" s="17">
        <f t="shared" si="7"/>
        <v>15</v>
      </c>
      <c r="G38" s="15" t="s">
        <v>39</v>
      </c>
    </row>
    <row r="39" ht="15.75" customHeight="1">
      <c r="C39" s="15" t="s">
        <v>41</v>
      </c>
      <c r="D39" s="15" t="str">
        <f t="shared" ref="D39:D40" si="8">#REF!</f>
        <v>#REF!</v>
      </c>
      <c r="E39" s="17" t="str">
        <f t="shared" si="6"/>
        <v>#REF!</v>
      </c>
      <c r="F39" s="17" t="str">
        <f t="shared" si="7"/>
        <v>#REF!</v>
      </c>
      <c r="G39" s="15" t="s">
        <v>39</v>
      </c>
    </row>
    <row r="40" ht="15.75" customHeight="1">
      <c r="C40" s="15" t="s">
        <v>42</v>
      </c>
      <c r="D40" s="15" t="str">
        <f t="shared" si="8"/>
        <v>#REF!</v>
      </c>
      <c r="E40" s="17" t="str">
        <f t="shared" si="6"/>
        <v>#REF!</v>
      </c>
      <c r="F40" s="17" t="str">
        <f t="shared" si="7"/>
        <v>#REF!</v>
      </c>
      <c r="G40" s="15" t="s">
        <v>39</v>
      </c>
    </row>
    <row r="41" ht="15.75" customHeight="1"/>
    <row r="42" ht="15.75" customHeight="1">
      <c r="C42" s="1" t="s">
        <v>43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12:D12"/>
    <mergeCell ref="E12:F12"/>
    <mergeCell ref="G12:H1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8.86"/>
    <col customWidth="1" min="3" max="14" width="15.14"/>
    <col customWidth="1" min="15" max="15" width="9.29"/>
    <col customWidth="1" min="16" max="26" width="8.86"/>
  </cols>
  <sheetData>
    <row r="1">
      <c r="A1" s="18" t="s">
        <v>44</v>
      </c>
    </row>
    <row r="3">
      <c r="A3" s="1" t="s">
        <v>0</v>
      </c>
      <c r="C3" s="2">
        <v>1.0</v>
      </c>
      <c r="D3" s="2">
        <v>2.0</v>
      </c>
      <c r="E3" s="2">
        <v>3.0</v>
      </c>
      <c r="F3" s="2">
        <v>4.0</v>
      </c>
      <c r="G3" s="2">
        <v>5.0</v>
      </c>
      <c r="H3" s="2">
        <v>6.0</v>
      </c>
      <c r="I3" s="2">
        <v>7.0</v>
      </c>
      <c r="J3" s="2">
        <v>8.0</v>
      </c>
      <c r="K3" s="2">
        <v>9.0</v>
      </c>
      <c r="L3" s="2">
        <v>10.0</v>
      </c>
      <c r="M3" s="2">
        <v>11.0</v>
      </c>
      <c r="N3" s="2">
        <v>12.0</v>
      </c>
    </row>
    <row r="4">
      <c r="A4" s="3"/>
      <c r="B4" s="4" t="s">
        <v>1</v>
      </c>
      <c r="C4" s="5" t="s">
        <v>2</v>
      </c>
      <c r="D4" s="5" t="s">
        <v>2</v>
      </c>
      <c r="E4" s="5" t="s">
        <v>2</v>
      </c>
      <c r="F4" s="6" t="s">
        <v>3</v>
      </c>
      <c r="G4" s="6" t="s">
        <v>3</v>
      </c>
      <c r="H4" s="6" t="s">
        <v>3</v>
      </c>
      <c r="I4" s="7"/>
      <c r="J4" s="7"/>
      <c r="K4" s="7"/>
      <c r="L4" s="7"/>
      <c r="M4" s="7"/>
      <c r="N4" s="7"/>
      <c r="O4" s="8"/>
    </row>
    <row r="5">
      <c r="A5" s="3"/>
      <c r="B5" s="4" t="s">
        <v>1</v>
      </c>
      <c r="C5" s="5" t="s">
        <v>4</v>
      </c>
      <c r="D5" s="5" t="s">
        <v>4</v>
      </c>
      <c r="E5" s="5" t="s">
        <v>4</v>
      </c>
      <c r="F5" s="6" t="s">
        <v>5</v>
      </c>
      <c r="G5" s="6" t="s">
        <v>5</v>
      </c>
      <c r="H5" s="6" t="s">
        <v>5</v>
      </c>
      <c r="I5" s="7"/>
      <c r="J5" s="7"/>
      <c r="K5" s="7"/>
      <c r="L5" s="7"/>
      <c r="M5" s="7"/>
      <c r="N5" s="7"/>
      <c r="O5" s="8"/>
    </row>
    <row r="6">
      <c r="A6" s="3"/>
      <c r="B6" s="4" t="s">
        <v>1</v>
      </c>
      <c r="C6" s="5" t="s">
        <v>6</v>
      </c>
      <c r="D6" s="5" t="s">
        <v>6</v>
      </c>
      <c r="E6" s="5" t="s">
        <v>6</v>
      </c>
      <c r="F6" s="6" t="s">
        <v>7</v>
      </c>
      <c r="G6" s="6" t="s">
        <v>7</v>
      </c>
      <c r="H6" s="6" t="s">
        <v>7</v>
      </c>
      <c r="I6" s="7"/>
      <c r="J6" s="7"/>
      <c r="K6" s="7"/>
      <c r="L6" s="7"/>
      <c r="M6" s="7"/>
      <c r="N6" s="7"/>
      <c r="O6" s="8"/>
    </row>
    <row r="7">
      <c r="A7" s="3"/>
      <c r="B7" s="4" t="s">
        <v>8</v>
      </c>
      <c r="C7" s="5" t="s">
        <v>2</v>
      </c>
      <c r="D7" s="5" t="s">
        <v>2</v>
      </c>
      <c r="E7" s="5" t="s">
        <v>2</v>
      </c>
      <c r="F7" s="6" t="s">
        <v>3</v>
      </c>
      <c r="G7" s="6" t="s">
        <v>3</v>
      </c>
      <c r="H7" s="6" t="s">
        <v>3</v>
      </c>
      <c r="I7" s="7"/>
      <c r="J7" s="7"/>
      <c r="K7" s="7"/>
      <c r="L7" s="7"/>
      <c r="M7" s="7"/>
      <c r="N7" s="7"/>
      <c r="O7" s="8"/>
    </row>
    <row r="8">
      <c r="B8" s="4" t="s">
        <v>8</v>
      </c>
      <c r="C8" s="5" t="s">
        <v>4</v>
      </c>
      <c r="D8" s="5" t="s">
        <v>4</v>
      </c>
      <c r="E8" s="5" t="s">
        <v>4</v>
      </c>
      <c r="F8" s="6" t="s">
        <v>5</v>
      </c>
      <c r="G8" s="6" t="s">
        <v>5</v>
      </c>
      <c r="H8" s="6" t="s">
        <v>5</v>
      </c>
      <c r="I8" s="7"/>
      <c r="J8" s="7"/>
      <c r="K8" s="7"/>
      <c r="L8" s="7"/>
      <c r="M8" s="7"/>
      <c r="N8" s="7"/>
      <c r="O8" s="1"/>
    </row>
    <row r="9">
      <c r="B9" s="4" t="s">
        <v>8</v>
      </c>
      <c r="C9" s="5" t="s">
        <v>6</v>
      </c>
      <c r="D9" s="5" t="s">
        <v>6</v>
      </c>
      <c r="E9" s="5" t="s">
        <v>6</v>
      </c>
      <c r="F9" s="6" t="s">
        <v>7</v>
      </c>
      <c r="G9" s="6" t="s">
        <v>7</v>
      </c>
      <c r="H9" s="6" t="s">
        <v>7</v>
      </c>
      <c r="I9" s="7"/>
      <c r="J9" s="7"/>
      <c r="K9" s="7"/>
      <c r="L9" s="7"/>
      <c r="M9" s="7"/>
      <c r="N9" s="7"/>
      <c r="O9" s="1"/>
    </row>
    <row r="10">
      <c r="B10" s="4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1"/>
    </row>
    <row r="11">
      <c r="B11" s="4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1"/>
    </row>
    <row r="13">
      <c r="C13" s="9" t="s">
        <v>9</v>
      </c>
      <c r="D13" s="10"/>
      <c r="E13" s="9" t="s">
        <v>10</v>
      </c>
      <c r="F13" s="10"/>
      <c r="G13" s="9" t="s">
        <v>11</v>
      </c>
      <c r="H13" s="10"/>
    </row>
    <row r="14">
      <c r="C14" s="11">
        <v>10.0</v>
      </c>
      <c r="D14" s="12" t="s">
        <v>12</v>
      </c>
      <c r="E14" s="11">
        <f t="shared" ref="E14:E17" si="1">$C14*$F$19</f>
        <v>220</v>
      </c>
      <c r="F14" s="12" t="s">
        <v>12</v>
      </c>
      <c r="G14" s="11">
        <f t="shared" ref="G14:G17" si="2">$C14*$H$19</f>
        <v>220</v>
      </c>
      <c r="H14" s="12" t="s">
        <v>12</v>
      </c>
    </row>
    <row r="15">
      <c r="C15" s="11">
        <v>0.4</v>
      </c>
      <c r="D15" s="12" t="s">
        <v>13</v>
      </c>
      <c r="E15" s="11">
        <f t="shared" si="1"/>
        <v>8.8</v>
      </c>
      <c r="F15" s="12" t="s">
        <v>13</v>
      </c>
      <c r="G15" s="11">
        <f t="shared" si="2"/>
        <v>8.8</v>
      </c>
      <c r="H15" s="12" t="s">
        <v>13</v>
      </c>
    </row>
    <row r="16">
      <c r="C16" s="11">
        <v>0.4</v>
      </c>
      <c r="D16" s="12" t="s">
        <v>14</v>
      </c>
      <c r="E16" s="11">
        <f t="shared" si="1"/>
        <v>8.8</v>
      </c>
      <c r="F16" s="12" t="s">
        <v>14</v>
      </c>
      <c r="G16" s="11">
        <f t="shared" si="2"/>
        <v>8.8</v>
      </c>
      <c r="H16" s="12" t="s">
        <v>14</v>
      </c>
    </row>
    <row r="17">
      <c r="C17" s="11">
        <f>20-SUM(C19,C14:C16)</f>
        <v>7.2</v>
      </c>
      <c r="D17" s="12" t="s">
        <v>15</v>
      </c>
      <c r="E17" s="13">
        <f t="shared" si="1"/>
        <v>158.4</v>
      </c>
      <c r="F17" s="14" t="s">
        <v>15</v>
      </c>
      <c r="G17" s="13">
        <f t="shared" si="2"/>
        <v>158.4</v>
      </c>
      <c r="H17" s="14" t="s">
        <v>15</v>
      </c>
    </row>
    <row r="18">
      <c r="C18" s="11"/>
      <c r="D18" s="12"/>
    </row>
    <row r="19">
      <c r="C19" s="13">
        <v>2.0</v>
      </c>
      <c r="D19" s="14" t="s">
        <v>16</v>
      </c>
      <c r="E19" s="4" t="s">
        <v>17</v>
      </c>
      <c r="F19" s="15">
        <v>22.0</v>
      </c>
      <c r="G19" s="4" t="s">
        <v>17</v>
      </c>
      <c r="H19" s="15">
        <v>22.0</v>
      </c>
    </row>
    <row r="21" ht="15.75" customHeight="1">
      <c r="C21" s="15" t="s">
        <v>45</v>
      </c>
    </row>
    <row r="22" ht="15.75" customHeight="1">
      <c r="C22" s="15" t="s">
        <v>19</v>
      </c>
    </row>
    <row r="23" ht="15.75" customHeight="1"/>
    <row r="24" ht="15.75" customHeight="1">
      <c r="C24" s="1" t="s">
        <v>34</v>
      </c>
    </row>
    <row r="25" ht="15.75" customHeight="1">
      <c r="C25" s="15" t="s">
        <v>35</v>
      </c>
    </row>
    <row r="26" ht="15.75" customHeight="1">
      <c r="D26" s="15" t="s">
        <v>36</v>
      </c>
      <c r="E26" s="16" t="s">
        <v>37</v>
      </c>
      <c r="F26" s="16" t="s">
        <v>27</v>
      </c>
    </row>
    <row r="27" ht="15.75" customHeight="1">
      <c r="C27" s="15" t="s">
        <v>38</v>
      </c>
      <c r="D27" s="15">
        <f>E15+5</f>
        <v>13.8</v>
      </c>
      <c r="E27" s="17">
        <f t="shared" ref="E27:E28" si="3">D27/5</f>
        <v>2.76</v>
      </c>
      <c r="F27" s="17">
        <f t="shared" ref="F27:F28" si="4">D27-E27</f>
        <v>11.04</v>
      </c>
      <c r="G27" s="15" t="s">
        <v>39</v>
      </c>
    </row>
    <row r="28" ht="15.75" customHeight="1">
      <c r="C28" s="15" t="s">
        <v>42</v>
      </c>
      <c r="D28" s="15">
        <f>G15+5</f>
        <v>13.8</v>
      </c>
      <c r="E28" s="17">
        <f t="shared" si="3"/>
        <v>2.76</v>
      </c>
      <c r="F28" s="17">
        <f t="shared" si="4"/>
        <v>11.04</v>
      </c>
      <c r="G28" s="15" t="s">
        <v>39</v>
      </c>
    </row>
    <row r="29" ht="15.75" customHeight="1"/>
    <row r="30" ht="15.75" customHeight="1">
      <c r="C30" s="1" t="s">
        <v>46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13:D13"/>
    <mergeCell ref="E13:F13"/>
    <mergeCell ref="G13:H1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2022-05-05T20:03:02Z</dcterms:created>
  <dc:creator>Nicole Scharping</dc:creator>
</cp:coreProperties>
</file>